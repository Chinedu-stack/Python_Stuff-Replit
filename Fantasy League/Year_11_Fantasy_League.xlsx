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PICK YOUR TEAM" sheetId="2" state="visible" r:id="rId2"/>
    <sheet name="TEST RESULTS" sheetId="3" state="visible" r:id="rId3"/>
    <sheet name="PLAYER MARKET" sheetId="4" state="visible" r:id="rId4"/>
    <sheet name="LEADERBOARD" sheetId="5" state="visible" r:id="rId5"/>
    <sheet name="RULES" sheetId="6" state="visible" r:id="rId6"/>
    <sheet name="Alexa Amesimeku" sheetId="7" state="visible" r:id="rId7"/>
    <sheet name="Alfie Foley" sheetId="8" state="visible" r:id="rId8"/>
    <sheet name="Alyza Rai" sheetId="9" state="visible" r:id="rId9"/>
    <sheet name="Ava Swinfen" sheetId="10" state="visible" r:id="rId10"/>
    <sheet name="Azlan Husain" sheetId="11" state="visible" r:id="rId11"/>
    <sheet name="Chinedu Chile" sheetId="12" state="visible" r:id="rId12"/>
    <sheet name="Daniel Liu" sheetId="13" state="visible" r:id="rId13"/>
    <sheet name="David Wu" sheetId="14" state="visible" r:id="rId14"/>
    <sheet name="Edwin Mayers" sheetId="15" state="visible" r:id="rId15"/>
    <sheet name="Emily Warburton" sheetId="16" state="visible" r:id="rId16"/>
    <sheet name="Esme Beston" sheetId="17" state="visible" r:id="rId17"/>
    <sheet name="Iona Smith" sheetId="18" state="visible" r:id="rId18"/>
    <sheet name="Joe Paige" sheetId="19" state="visible" r:id="rId19"/>
    <sheet name="Lia Li" sheetId="20" state="visible" r:id="rId20"/>
    <sheet name="Melody Zhaeentan" sheetId="21" state="visible" r:id="rId21"/>
    <sheet name="Nina De Saram" sheetId="22" state="visible" r:id="rId22"/>
    <sheet name="Oscar Day-Duran" sheetId="23" state="visible" r:id="rId23"/>
    <sheet name="Rebecca Seymour" sheetId="24" state="visible" r:id="rId24"/>
    <sheet name="Rory Bowman" sheetId="25" state="visible" r:id="rId25"/>
    <sheet name="Sophie Barker" sheetId="26" state="visible" r:id="rId26"/>
    <sheet name="Xander Meijer" sheetId="27" state="visible" r:id="rId27"/>
    <sheet name="CALCULATIONS" sheetId="28" state="hidden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0.0&quot;m&quot;"/>
    <numFmt numFmtId="165" formatCode="0&quot;%&quot;"/>
  </numFmts>
  <fonts count="18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1565C0"/>
      <sz val="16"/>
    </font>
    <font>
      <b val="1"/>
      <color rgb="00172033"/>
      <sz val="13"/>
    </font>
    <font>
      <b val="1"/>
      <color rgb="006B7280"/>
      <sz val="12"/>
    </font>
    <font>
      <b val="1"/>
      <color rgb="000B1F3A"/>
      <sz val="14"/>
    </font>
    <font>
      <b val="1"/>
      <color rgb="00FFFFFF"/>
      <sz val="13"/>
    </font>
    <font>
      <color rgb="00172033"/>
      <sz val="12"/>
    </font>
    <font>
      <b val="1"/>
      <color rgb="000B1F3A"/>
      <sz val="16"/>
    </font>
    <font>
      <b val="1"/>
      <color rgb="0016A34A"/>
      <sz val="12"/>
    </font>
    <font>
      <i val="1"/>
      <color rgb="006B7280"/>
      <sz val="12"/>
    </font>
    <font>
      <b val="1"/>
      <color rgb="00FFFFFF"/>
      <sz val="12"/>
    </font>
    <font>
      <b val="1"/>
      <color rgb="001565C0"/>
      <sz val="12"/>
      <u val="single"/>
    </font>
    <font>
      <b val="1"/>
      <color rgb="001565C0"/>
      <sz val="12"/>
    </font>
    <font>
      <b val="1"/>
      <color rgb="00172033"/>
      <sz val="12"/>
    </font>
    <font>
      <b val="1"/>
      <color rgb="000B1F3A"/>
      <sz val="13"/>
    </font>
    <font>
      <i val="1"/>
      <color rgb="006B7280"/>
      <sz val="11"/>
    </font>
    <font>
      <b val="1"/>
      <color rgb="00F59E0B"/>
      <sz val="12"/>
    </font>
  </fonts>
  <fills count="11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AF2FF"/>
      </patternFill>
    </fill>
    <fill>
      <patternFill patternType="solid">
        <fgColor rgb="00FEF3C7"/>
      </patternFill>
    </fill>
    <fill>
      <patternFill patternType="solid">
        <fgColor rgb="001565C0"/>
      </patternFill>
    </fill>
    <fill>
      <patternFill patternType="solid">
        <fgColor rgb="00F5F9FF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475569"/>
      </patternFill>
    </fill>
    <fill>
      <patternFill patternType="solid">
        <fgColor rgb="00334155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bottom style="medium">
        <color rgb="001565C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indent="1"/>
    </xf>
    <xf numFmtId="0" fontId="11" fillId="2" borderId="2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14" fillId="8" borderId="1" applyAlignment="1" pivotButton="0" quotePrefix="0" xfId="0">
      <alignment horizontal="center" vertical="center"/>
    </xf>
    <xf numFmtId="9" fontId="7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center" vertical="center"/>
    </xf>
    <xf numFmtId="9" fontId="7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17" fillId="8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left" vertical="center"/>
    </xf>
    <xf numFmtId="1" fontId="14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left" vertical="center" indent="1"/>
    </xf>
    <xf numFmtId="0" fontId="11" fillId="10" borderId="2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374151"/>
      </font>
      <fill>
        <patternFill patternType="solid">
          <fgColor rgb="00E5E7EB"/>
        </patternFill>
      </fill>
    </dxf>
    <dxf>
      <font>
        <b val="1"/>
        <color rgb="009A3412"/>
      </font>
      <fill>
        <patternFill patternType="solid">
          <fgColor rgb="00FED7AA"/>
        </patternFill>
      </fill>
    </dxf>
    <dxf>
      <font>
        <b val="1"/>
        <color rgb="0016A34A"/>
      </font>
      <fill>
        <patternFill patternType="solid">
          <fgColor rgb="00DCFCE7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Alexa Amesimeku'!A1" TargetMode="External" Id="rId1" /><Relationship Type="http://schemas.openxmlformats.org/officeDocument/2006/relationships/hyperlink" Target="#'Alfie Foley'!A1" TargetMode="External" Id="rId2" /><Relationship Type="http://schemas.openxmlformats.org/officeDocument/2006/relationships/hyperlink" Target="#'Alyza Rai'!A1" TargetMode="External" Id="rId3" /><Relationship Type="http://schemas.openxmlformats.org/officeDocument/2006/relationships/hyperlink" Target="#'Ava Swinfen'!A1" TargetMode="External" Id="rId4" /><Relationship Type="http://schemas.openxmlformats.org/officeDocument/2006/relationships/hyperlink" Target="#'Azlan Husain'!A1" TargetMode="External" Id="rId5" /><Relationship Type="http://schemas.openxmlformats.org/officeDocument/2006/relationships/hyperlink" Target="#'Chinedu Chile'!A1" TargetMode="External" Id="rId6" /><Relationship Type="http://schemas.openxmlformats.org/officeDocument/2006/relationships/hyperlink" Target="#'Daniel Liu'!A1" TargetMode="External" Id="rId7" /><Relationship Type="http://schemas.openxmlformats.org/officeDocument/2006/relationships/hyperlink" Target="#'David Wu'!A1" TargetMode="External" Id="rId8" /><Relationship Type="http://schemas.openxmlformats.org/officeDocument/2006/relationships/hyperlink" Target="#'Edwin Mayers'!A1" TargetMode="External" Id="rId9" /><Relationship Type="http://schemas.openxmlformats.org/officeDocument/2006/relationships/hyperlink" Target="#'Emily Warburton'!A1" TargetMode="External" Id="rId10" /><Relationship Type="http://schemas.openxmlformats.org/officeDocument/2006/relationships/hyperlink" Target="#'Esme Beston'!A1" TargetMode="External" Id="rId11" /><Relationship Type="http://schemas.openxmlformats.org/officeDocument/2006/relationships/hyperlink" Target="#'Iona Smith'!A1" TargetMode="External" Id="rId12" /><Relationship Type="http://schemas.openxmlformats.org/officeDocument/2006/relationships/hyperlink" Target="#'Joe Paige'!A1" TargetMode="External" Id="rId13" /><Relationship Type="http://schemas.openxmlformats.org/officeDocument/2006/relationships/hyperlink" Target="#'Lia Li'!A1" TargetMode="External" Id="rId14" /><Relationship Type="http://schemas.openxmlformats.org/officeDocument/2006/relationships/hyperlink" Target="#'Melody Zhaeentan'!A1" TargetMode="External" Id="rId15" /><Relationship Type="http://schemas.openxmlformats.org/officeDocument/2006/relationships/hyperlink" Target="#'Nina De Saram'!A1" TargetMode="External" Id="rId16" /><Relationship Type="http://schemas.openxmlformats.org/officeDocument/2006/relationships/hyperlink" Target="#'Oscar Day-Duran'!A1" TargetMode="External" Id="rId17" /><Relationship Type="http://schemas.openxmlformats.org/officeDocument/2006/relationships/hyperlink" Target="#'Rebecca Seymour'!A1" TargetMode="External" Id="rId18" /><Relationship Type="http://schemas.openxmlformats.org/officeDocument/2006/relationships/hyperlink" Target="#'Rory Bowman'!A1" TargetMode="External" Id="rId19" /><Relationship Type="http://schemas.openxmlformats.org/officeDocument/2006/relationships/hyperlink" Target="#'Sophie Barker'!A1" TargetMode="External" Id="rId20" /><Relationship Type="http://schemas.openxmlformats.org/officeDocument/2006/relationships/hyperlink" Target="#'Xander Meijer'!A1" TargetMode="External" Id="rId21" /></Relationships>
</file>

<file path=xl/worksheets/_rels/sheet7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#'PICK YOUR TEAM'!A1" TargetMode="External" Id="rId1" /></Relationships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B1:G24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" customWidth="1" min="8" max="8"/>
  </cols>
  <sheetData>
    <row r="1" ht="52" customHeight="1">
      <c r="B1" s="1" t="inlineStr">
        <is>
          <t>YEAR 11 FANTASY LEAGUE</t>
        </is>
      </c>
    </row>
    <row r="2" ht="32" customHeight="1">
      <c r="B2" s="2" t="inlineStr">
        <is>
          <t>GAMEWEEK 1  •  BIOLOGY</t>
        </is>
      </c>
    </row>
    <row r="3" ht="12" customHeight="1"/>
    <row r="4" ht="34" customHeight="1">
      <c r="B4" s="3" t="inlineStr">
        <is>
          <t>DEADLINE  •  27 SEPTEMBER 2026  •  11:59 PM</t>
        </is>
      </c>
    </row>
    <row r="5" ht="34" customHeight="1">
      <c r="B5" s="3" t="inlineStr">
        <is>
          <t>TEST DATE  •  28 SEPTEMBER 2026</t>
        </is>
      </c>
    </row>
    <row r="6" ht="12" customHeight="1"/>
    <row r="7" ht="30" customHeight="1">
      <c r="B7" s="4" t="inlineStr">
        <is>
          <t>CURRENT GAMEWEEK:</t>
        </is>
      </c>
      <c r="C7" s="5" t="n">
        <v>1</v>
      </c>
    </row>
    <row r="8" ht="12" customHeight="1"/>
    <row r="9" ht="32" customHeight="1">
      <c r="B9" s="6" t="inlineStr">
        <is>
          <t>HOW TO PLAY</t>
        </is>
      </c>
    </row>
    <row r="10" ht="30" customHeight="1">
      <c r="B10" s="7" t="inlineStr">
        <is>
          <t>1.  Click PICK YOUR TEAM at the top of the workbook.</t>
        </is>
      </c>
    </row>
    <row r="11" ht="30" customHeight="1">
      <c r="B11" s="7" t="inlineStr">
        <is>
          <t>2.  Click your name to jump to your team sheet.</t>
        </is>
      </c>
    </row>
    <row r="12" ht="30" customHeight="1">
      <c r="B12" s="7" t="inlineStr">
        <is>
          <t>3.  Pick 5 players from the dropdowns.</t>
        </is>
      </c>
    </row>
    <row r="13" ht="30" customHeight="1">
      <c r="B13" s="7" t="inlineStr">
        <is>
          <t>4.  Pick 1 captain — your captain scores double points.</t>
        </is>
      </c>
    </row>
    <row r="14" ht="30" customHeight="1">
      <c r="B14" s="7" t="inlineStr">
        <is>
          <t>5.  Enter your own Biology % on TEST RESULTS.</t>
        </is>
      </c>
    </row>
    <row r="16" ht="12" customHeight="1"/>
    <row r="17" ht="32" customHeight="1">
      <c r="B17" s="6" t="inlineStr">
        <is>
          <t>THE GOLDEN RULE</t>
        </is>
      </c>
    </row>
    <row r="18" ht="32" customHeight="1">
      <c r="B18" s="8" t="inlineStr">
        <is>
          <t>YOU ONLY NEED TO:</t>
        </is>
      </c>
    </row>
    <row r="19" ht="30" customHeight="1">
      <c r="B19" s="9" t="inlineStr">
        <is>
          <t>✓  Pick 5 players</t>
        </is>
      </c>
    </row>
    <row r="20" ht="30" customHeight="1">
      <c r="B20" s="9" t="inlineStr">
        <is>
          <t>✓  Pick a captain</t>
        </is>
      </c>
    </row>
    <row r="21" ht="30" customHeight="1">
      <c r="B21" s="9" t="inlineStr">
        <is>
          <t>✓  Enter your test result</t>
        </is>
      </c>
    </row>
    <row r="23" ht="30" customHeight="1">
      <c r="B23" s="10" t="inlineStr">
        <is>
          <t>EXCEL DOES EVERYTHING ELSE.
Points  •  Captain bonus  •  Scores  •  Leaderboard  •  Ownership  •  Prices</t>
        </is>
      </c>
    </row>
    <row r="24" ht="30" customHeight="1"/>
  </sheetData>
  <mergeCells count="20">
    <mergeCell ref="B2:G2"/>
    <mergeCell ref="B14:G14"/>
    <mergeCell ref="B17:G17"/>
    <mergeCell ref="B1:G1"/>
    <mergeCell ref="B8:G8"/>
    <mergeCell ref="B13:G13"/>
    <mergeCell ref="B19:G19"/>
    <mergeCell ref="B10:G10"/>
    <mergeCell ref="B9:G9"/>
    <mergeCell ref="B6:G6"/>
    <mergeCell ref="B20:G20"/>
    <mergeCell ref="B5:G5"/>
    <mergeCell ref="B23:G24"/>
    <mergeCell ref="B4:G4"/>
    <mergeCell ref="B3:G3"/>
    <mergeCell ref="B16:G16"/>
    <mergeCell ref="B12:G12"/>
    <mergeCell ref="B18:G18"/>
    <mergeCell ref="B21:G21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B1:D25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20" customWidth="1" min="4" max="4"/>
  </cols>
  <sheetData>
    <row r="1" ht="52" customHeight="1">
      <c r="B1" s="1" t="inlineStr">
        <is>
          <t>PICK YOUR TEAM</t>
        </is>
      </c>
    </row>
    <row r="2" ht="30" customHeight="1">
      <c r="B2" s="11" t="inlineStr">
        <is>
          <t>Click your name to jump to your team sheet.</t>
        </is>
      </c>
    </row>
    <row r="3" ht="12" customHeight="1"/>
    <row r="4" ht="32" customHeight="1">
      <c r="B4" s="12" t="inlineStr">
        <is>
          <t>Manager</t>
        </is>
      </c>
      <c r="C4" s="12" t="inlineStr">
        <is>
          <t>Status</t>
        </is>
      </c>
      <c r="D4" s="12" t="inlineStr">
        <is>
          <t>GW Score</t>
        </is>
      </c>
    </row>
    <row r="5" ht="30" customHeight="1">
      <c r="B5" s="13" t="inlineStr">
        <is>
          <t>Alexa Amesimeku</t>
        </is>
      </c>
      <c r="C5" s="14">
        <f>CALCULATIONS!U2</f>
        <v/>
      </c>
      <c r="D5" s="14">
        <f>CALCULATIONS!T2</f>
        <v/>
      </c>
    </row>
    <row r="6" ht="30" customHeight="1">
      <c r="B6" s="13" t="inlineStr">
        <is>
          <t>Alfie Foley</t>
        </is>
      </c>
      <c r="C6" s="14">
        <f>CALCULATIONS!U3</f>
        <v/>
      </c>
      <c r="D6" s="14">
        <f>CALCULATIONS!T3</f>
        <v/>
      </c>
    </row>
    <row r="7" ht="30" customHeight="1">
      <c r="B7" s="13" t="inlineStr">
        <is>
          <t>Alyza Rai</t>
        </is>
      </c>
      <c r="C7" s="14">
        <f>CALCULATIONS!U4</f>
        <v/>
      </c>
      <c r="D7" s="14">
        <f>CALCULATIONS!T4</f>
        <v/>
      </c>
    </row>
    <row r="8" ht="30" customHeight="1">
      <c r="B8" s="13" t="inlineStr">
        <is>
          <t>Ava Swinfen</t>
        </is>
      </c>
      <c r="C8" s="14">
        <f>CALCULATIONS!U5</f>
        <v/>
      </c>
      <c r="D8" s="14">
        <f>CALCULATIONS!T5</f>
        <v/>
      </c>
    </row>
    <row r="9" ht="30" customHeight="1">
      <c r="B9" s="13" t="inlineStr">
        <is>
          <t>Azlan Husain</t>
        </is>
      </c>
      <c r="C9" s="14">
        <f>CALCULATIONS!U6</f>
        <v/>
      </c>
      <c r="D9" s="14">
        <f>CALCULATIONS!T6</f>
        <v/>
      </c>
    </row>
    <row r="10" ht="30" customHeight="1">
      <c r="B10" s="13" t="inlineStr">
        <is>
          <t>Chinedu Chile</t>
        </is>
      </c>
      <c r="C10" s="14">
        <f>CALCULATIONS!U7</f>
        <v/>
      </c>
      <c r="D10" s="14">
        <f>CALCULATIONS!T7</f>
        <v/>
      </c>
    </row>
    <row r="11" ht="30" customHeight="1">
      <c r="B11" s="13" t="inlineStr">
        <is>
          <t>Daniel Liu</t>
        </is>
      </c>
      <c r="C11" s="14">
        <f>CALCULATIONS!U8</f>
        <v/>
      </c>
      <c r="D11" s="14">
        <f>CALCULATIONS!T8</f>
        <v/>
      </c>
    </row>
    <row r="12" ht="30" customHeight="1">
      <c r="B12" s="13" t="inlineStr">
        <is>
          <t>David Wu</t>
        </is>
      </c>
      <c r="C12" s="14">
        <f>CALCULATIONS!U9</f>
        <v/>
      </c>
      <c r="D12" s="14">
        <f>CALCULATIONS!T9</f>
        <v/>
      </c>
    </row>
    <row r="13" ht="30" customHeight="1">
      <c r="B13" s="13" t="inlineStr">
        <is>
          <t>Edwin Mayers</t>
        </is>
      </c>
      <c r="C13" s="14">
        <f>CALCULATIONS!U10</f>
        <v/>
      </c>
      <c r="D13" s="14">
        <f>CALCULATIONS!T10</f>
        <v/>
      </c>
    </row>
    <row r="14" ht="30" customHeight="1">
      <c r="B14" s="13" t="inlineStr">
        <is>
          <t>Emily Warburton</t>
        </is>
      </c>
      <c r="C14" s="14">
        <f>CALCULATIONS!U11</f>
        <v/>
      </c>
      <c r="D14" s="14">
        <f>CALCULATIONS!T11</f>
        <v/>
      </c>
    </row>
    <row r="15" ht="30" customHeight="1">
      <c r="B15" s="13" t="inlineStr">
        <is>
          <t>Esme Beston</t>
        </is>
      </c>
      <c r="C15" s="14">
        <f>CALCULATIONS!U12</f>
        <v/>
      </c>
      <c r="D15" s="14">
        <f>CALCULATIONS!T12</f>
        <v/>
      </c>
    </row>
    <row r="16" ht="30" customHeight="1">
      <c r="B16" s="13" t="inlineStr">
        <is>
          <t>Iona Smith</t>
        </is>
      </c>
      <c r="C16" s="14">
        <f>CALCULATIONS!U13</f>
        <v/>
      </c>
      <c r="D16" s="14">
        <f>CALCULATIONS!T13</f>
        <v/>
      </c>
    </row>
    <row r="17" ht="30" customHeight="1">
      <c r="B17" s="13" t="inlineStr">
        <is>
          <t>Joe Paige</t>
        </is>
      </c>
      <c r="C17" s="14">
        <f>CALCULATIONS!U14</f>
        <v/>
      </c>
      <c r="D17" s="14">
        <f>CALCULATIONS!T14</f>
        <v/>
      </c>
    </row>
    <row r="18" ht="30" customHeight="1">
      <c r="B18" s="13" t="inlineStr">
        <is>
          <t>Lia Li</t>
        </is>
      </c>
      <c r="C18" s="14">
        <f>CALCULATIONS!U15</f>
        <v/>
      </c>
      <c r="D18" s="14">
        <f>CALCULATIONS!T15</f>
        <v/>
      </c>
    </row>
    <row r="19" ht="30" customHeight="1">
      <c r="B19" s="13" t="inlineStr">
        <is>
          <t>Melody Zhaeentan</t>
        </is>
      </c>
      <c r="C19" s="14">
        <f>CALCULATIONS!U16</f>
        <v/>
      </c>
      <c r="D19" s="14">
        <f>CALCULATIONS!T16</f>
        <v/>
      </c>
    </row>
    <row r="20" ht="30" customHeight="1">
      <c r="B20" s="13" t="inlineStr">
        <is>
          <t>Nina De Saram</t>
        </is>
      </c>
      <c r="C20" s="14">
        <f>CALCULATIONS!U17</f>
        <v/>
      </c>
      <c r="D20" s="14">
        <f>CALCULATIONS!T17</f>
        <v/>
      </c>
    </row>
    <row r="21" ht="30" customHeight="1">
      <c r="B21" s="13" t="inlineStr">
        <is>
          <t>Oscar Day-Duran</t>
        </is>
      </c>
      <c r="C21" s="14">
        <f>CALCULATIONS!U18</f>
        <v/>
      </c>
      <c r="D21" s="14">
        <f>CALCULATIONS!T18</f>
        <v/>
      </c>
    </row>
    <row r="22" ht="30" customHeight="1">
      <c r="B22" s="13" t="inlineStr">
        <is>
          <t>Rebecca Seymour</t>
        </is>
      </c>
      <c r="C22" s="14">
        <f>CALCULATIONS!U19</f>
        <v/>
      </c>
      <c r="D22" s="14">
        <f>CALCULATIONS!T19</f>
        <v/>
      </c>
    </row>
    <row r="23" ht="30" customHeight="1">
      <c r="B23" s="13" t="inlineStr">
        <is>
          <t>Rory Bowman</t>
        </is>
      </c>
      <c r="C23" s="14">
        <f>CALCULATIONS!U20</f>
        <v/>
      </c>
      <c r="D23" s="14">
        <f>CALCULATIONS!T20</f>
        <v/>
      </c>
    </row>
    <row r="24" ht="30" customHeight="1">
      <c r="B24" s="13" t="inlineStr">
        <is>
          <t>Sophie Barker</t>
        </is>
      </c>
      <c r="C24" s="14">
        <f>CALCULATIONS!U21</f>
        <v/>
      </c>
      <c r="D24" s="14">
        <f>CALCULATIONS!T21</f>
        <v/>
      </c>
    </row>
    <row r="25" ht="30" customHeight="1">
      <c r="B25" s="13" t="inlineStr">
        <is>
          <t>Xander Meijer</t>
        </is>
      </c>
      <c r="C25" s="14">
        <f>CALCULATIONS!U22</f>
        <v/>
      </c>
      <c r="D25" s="14">
        <f>CALCULATIONS!T22</f>
        <v/>
      </c>
    </row>
  </sheetData>
  <mergeCells count="3">
    <mergeCell ref="B1:D1"/>
    <mergeCell ref="B2:D2"/>
    <mergeCell ref="B3:D3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B1:C30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42" customWidth="1" min="3" max="3"/>
  </cols>
  <sheetData>
    <row r="1" ht="52" customHeight="1">
      <c r="B1" s="1" t="inlineStr">
        <is>
          <t>TEST RESULTS</t>
        </is>
      </c>
    </row>
    <row r="2" ht="30" customHeight="1">
      <c r="B2" s="15" t="inlineStr">
        <is>
          <t>BIOLOGY  •  GAMEWEEK 1  •  Test on 28 September 2026</t>
        </is>
      </c>
    </row>
    <row r="3" ht="12" customHeight="1"/>
    <row r="4" ht="32" customHeight="1">
      <c r="B4" s="12" t="inlineStr">
        <is>
          <t>Student</t>
        </is>
      </c>
      <c r="C4" s="12" t="inlineStr">
        <is>
          <t>Biology %  —  type 90, not 90%</t>
        </is>
      </c>
    </row>
    <row r="5" ht="30" customHeight="1">
      <c r="B5" s="16" t="inlineStr">
        <is>
          <t>Alexa Amesimeku</t>
        </is>
      </c>
      <c r="C5" s="17" t="inlineStr"/>
    </row>
    <row r="6" ht="30" customHeight="1">
      <c r="B6" s="16" t="inlineStr">
        <is>
          <t>Alfie Foley</t>
        </is>
      </c>
      <c r="C6" s="17" t="inlineStr"/>
    </row>
    <row r="7" ht="30" customHeight="1">
      <c r="B7" s="16" t="inlineStr">
        <is>
          <t>Alyza Rai</t>
        </is>
      </c>
      <c r="C7" s="17" t="inlineStr"/>
    </row>
    <row r="8" ht="30" customHeight="1">
      <c r="B8" s="16" t="inlineStr">
        <is>
          <t>Ava Swinfen</t>
        </is>
      </c>
      <c r="C8" s="17" t="inlineStr"/>
    </row>
    <row r="9" ht="30" customHeight="1">
      <c r="B9" s="16" t="inlineStr">
        <is>
          <t>Azlan Husain</t>
        </is>
      </c>
      <c r="C9" s="17" t="inlineStr"/>
    </row>
    <row r="10" ht="30" customHeight="1">
      <c r="B10" s="16" t="inlineStr">
        <is>
          <t>Chinedu Chile</t>
        </is>
      </c>
      <c r="C10" s="17" t="inlineStr"/>
    </row>
    <row r="11" ht="30" customHeight="1">
      <c r="B11" s="16" t="inlineStr">
        <is>
          <t>Daniel Liu</t>
        </is>
      </c>
      <c r="C11" s="17" t="inlineStr"/>
    </row>
    <row r="12" ht="30" customHeight="1">
      <c r="B12" s="16" t="inlineStr">
        <is>
          <t>David Wu</t>
        </is>
      </c>
      <c r="C12" s="17" t="inlineStr"/>
    </row>
    <row r="13" ht="30" customHeight="1">
      <c r="B13" s="16" t="inlineStr">
        <is>
          <t>Edwin Mayers</t>
        </is>
      </c>
      <c r="C13" s="17" t="inlineStr"/>
    </row>
    <row r="14" ht="30" customHeight="1">
      <c r="B14" s="16" t="inlineStr">
        <is>
          <t>Emily Warburton</t>
        </is>
      </c>
      <c r="C14" s="17" t="inlineStr"/>
    </row>
    <row r="15" ht="30" customHeight="1">
      <c r="B15" s="16" t="inlineStr">
        <is>
          <t>Esme Beston</t>
        </is>
      </c>
      <c r="C15" s="17" t="inlineStr"/>
    </row>
    <row r="16" ht="30" customHeight="1">
      <c r="B16" s="16" t="inlineStr">
        <is>
          <t>Iona Smith</t>
        </is>
      </c>
      <c r="C16" s="17" t="inlineStr"/>
    </row>
    <row r="17" ht="30" customHeight="1">
      <c r="B17" s="16" t="inlineStr">
        <is>
          <t>Joe Paige</t>
        </is>
      </c>
      <c r="C17" s="17" t="inlineStr"/>
    </row>
    <row r="18" ht="30" customHeight="1">
      <c r="B18" s="16" t="inlineStr">
        <is>
          <t>Lia Li</t>
        </is>
      </c>
      <c r="C18" s="17" t="inlineStr"/>
    </row>
    <row r="19" ht="30" customHeight="1">
      <c r="B19" s="16" t="inlineStr">
        <is>
          <t>Melody Zhaeentan</t>
        </is>
      </c>
      <c r="C19" s="17" t="inlineStr"/>
    </row>
    <row r="20" ht="30" customHeight="1">
      <c r="B20" s="16" t="inlineStr">
        <is>
          <t>Nina De Saram</t>
        </is>
      </c>
      <c r="C20" s="17" t="inlineStr"/>
    </row>
    <row r="21" ht="30" customHeight="1">
      <c r="B21" s="16" t="inlineStr">
        <is>
          <t>Oscar Day-Duran</t>
        </is>
      </c>
      <c r="C21" s="17" t="inlineStr"/>
    </row>
    <row r="22" ht="30" customHeight="1">
      <c r="B22" s="16" t="inlineStr">
        <is>
          <t>Rebecca Seymour</t>
        </is>
      </c>
      <c r="C22" s="17" t="inlineStr"/>
    </row>
    <row r="23" ht="30" customHeight="1">
      <c r="B23" s="16" t="inlineStr">
        <is>
          <t>Rory Bowman</t>
        </is>
      </c>
      <c r="C23" s="17" t="inlineStr"/>
    </row>
    <row r="24" ht="30" customHeight="1">
      <c r="B24" s="16" t="inlineStr">
        <is>
          <t>Sophie Barker</t>
        </is>
      </c>
      <c r="C24" s="17" t="inlineStr"/>
    </row>
    <row r="25" ht="30" customHeight="1">
      <c r="B25" s="16" t="inlineStr">
        <is>
          <t>Xander Meijer</t>
        </is>
      </c>
      <c r="C25" s="17" t="inlineStr"/>
    </row>
    <row r="28">
      <c r="B28" s="18" t="inlineStr">
        <is>
          <t>Enter a whole number between 0 and 100.
Do NOT type the % sign — just the number. Example: 90</t>
        </is>
      </c>
    </row>
    <row r="29"/>
    <row r="30"/>
  </sheetData>
  <mergeCells count="4">
    <mergeCell ref="B1:C1"/>
    <mergeCell ref="B3:C3"/>
    <mergeCell ref="B28:C30"/>
    <mergeCell ref="B2:C2"/>
  </mergeCells>
  <dataValidations count="1">
    <dataValidation sqref="C5:C25" showDropDown="0" showInputMessage="0" showErrorMessage="1" allowBlank="1" errorTitle="Invalid percentage" error="Enter a whole number from 0 to 100.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B1:D30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20" customWidth="1" min="4" max="4"/>
  </cols>
  <sheetData>
    <row r="1" ht="52" customHeight="1">
      <c r="B1" s="1" t="inlineStr">
        <is>
          <t>PLAYER MARKET</t>
        </is>
      </c>
    </row>
    <row r="2" ht="30" customHeight="1">
      <c r="B2" s="11" t="inlineStr">
        <is>
          <t>Prices  •  Ownership</t>
        </is>
      </c>
    </row>
    <row r="3" ht="12" customHeight="1"/>
    <row r="4" ht="32" customHeight="1">
      <c r="B4" s="12" t="inlineStr">
        <is>
          <t>Player</t>
        </is>
      </c>
      <c r="C4" s="12" t="inlineStr">
        <is>
          <t>Price</t>
        </is>
      </c>
      <c r="D4" s="12" t="inlineStr">
        <is>
          <t>Ownership %</t>
        </is>
      </c>
    </row>
    <row r="5" ht="28" customHeight="1">
      <c r="B5" s="16">
        <f>CALCULATIONS!A2</f>
        <v/>
      </c>
      <c r="C5" s="19">
        <f>CALCULATIONS!C2</f>
        <v/>
      </c>
      <c r="D5" s="20">
        <f>COUNTIF('CALCULATIONS'!$L$2:$P$22,B5)/COUNTA('CALCULATIONS'!$K$2:$K$22)</f>
        <v/>
      </c>
    </row>
    <row r="6" ht="28" customHeight="1">
      <c r="B6" s="21">
        <f>CALCULATIONS!A3</f>
        <v/>
      </c>
      <c r="C6" s="22">
        <f>CALCULATIONS!C3</f>
        <v/>
      </c>
      <c r="D6" s="23">
        <f>COUNTIF('CALCULATIONS'!$L$2:$P$22,B6)/COUNTA('CALCULATIONS'!$K$2:$K$22)</f>
        <v/>
      </c>
    </row>
    <row r="7" ht="28" customHeight="1">
      <c r="B7" s="16">
        <f>CALCULATIONS!A4</f>
        <v/>
      </c>
      <c r="C7" s="19">
        <f>CALCULATIONS!C4</f>
        <v/>
      </c>
      <c r="D7" s="20">
        <f>COUNTIF('CALCULATIONS'!$L$2:$P$22,B7)/COUNTA('CALCULATIONS'!$K$2:$K$22)</f>
        <v/>
      </c>
    </row>
    <row r="8" ht="28" customHeight="1">
      <c r="B8" s="21">
        <f>CALCULATIONS!A5</f>
        <v/>
      </c>
      <c r="C8" s="22">
        <f>CALCULATIONS!C5</f>
        <v/>
      </c>
      <c r="D8" s="23">
        <f>COUNTIF('CALCULATIONS'!$L$2:$P$22,B8)/COUNTA('CALCULATIONS'!$K$2:$K$22)</f>
        <v/>
      </c>
    </row>
    <row r="9" ht="28" customHeight="1">
      <c r="B9" s="16">
        <f>CALCULATIONS!A6</f>
        <v/>
      </c>
      <c r="C9" s="19">
        <f>CALCULATIONS!C6</f>
        <v/>
      </c>
      <c r="D9" s="20">
        <f>COUNTIF('CALCULATIONS'!$L$2:$P$22,B9)/COUNTA('CALCULATIONS'!$K$2:$K$22)</f>
        <v/>
      </c>
    </row>
    <row r="10" ht="28" customHeight="1">
      <c r="B10" s="21">
        <f>CALCULATIONS!A7</f>
        <v/>
      </c>
      <c r="C10" s="22">
        <f>CALCULATIONS!C7</f>
        <v/>
      </c>
      <c r="D10" s="23">
        <f>COUNTIF('CALCULATIONS'!$L$2:$P$22,B10)/COUNTA('CALCULATIONS'!$K$2:$K$22)</f>
        <v/>
      </c>
    </row>
    <row r="11" ht="28" customHeight="1">
      <c r="B11" s="16">
        <f>CALCULATIONS!A8</f>
        <v/>
      </c>
      <c r="C11" s="19">
        <f>CALCULATIONS!C8</f>
        <v/>
      </c>
      <c r="D11" s="20">
        <f>COUNTIF('CALCULATIONS'!$L$2:$P$22,B11)/COUNTA('CALCULATIONS'!$K$2:$K$22)</f>
        <v/>
      </c>
    </row>
    <row r="12" ht="28" customHeight="1">
      <c r="B12" s="21">
        <f>CALCULATIONS!A9</f>
        <v/>
      </c>
      <c r="C12" s="22">
        <f>CALCULATIONS!C9</f>
        <v/>
      </c>
      <c r="D12" s="23">
        <f>COUNTIF('CALCULATIONS'!$L$2:$P$22,B12)/COUNTA('CALCULATIONS'!$K$2:$K$22)</f>
        <v/>
      </c>
    </row>
    <row r="13" ht="28" customHeight="1">
      <c r="B13" s="16">
        <f>CALCULATIONS!A10</f>
        <v/>
      </c>
      <c r="C13" s="19">
        <f>CALCULATIONS!C10</f>
        <v/>
      </c>
      <c r="D13" s="20">
        <f>COUNTIF('CALCULATIONS'!$L$2:$P$22,B13)/COUNTA('CALCULATIONS'!$K$2:$K$22)</f>
        <v/>
      </c>
    </row>
    <row r="14" ht="28" customHeight="1">
      <c r="B14" s="21">
        <f>CALCULATIONS!A11</f>
        <v/>
      </c>
      <c r="C14" s="22">
        <f>CALCULATIONS!C11</f>
        <v/>
      </c>
      <c r="D14" s="23">
        <f>COUNTIF('CALCULATIONS'!$L$2:$P$22,B14)/COUNTA('CALCULATIONS'!$K$2:$K$22)</f>
        <v/>
      </c>
    </row>
    <row r="15" ht="28" customHeight="1">
      <c r="B15" s="16">
        <f>CALCULATIONS!A12</f>
        <v/>
      </c>
      <c r="C15" s="19">
        <f>CALCULATIONS!C12</f>
        <v/>
      </c>
      <c r="D15" s="20">
        <f>COUNTIF('CALCULATIONS'!$L$2:$P$22,B15)/COUNTA('CALCULATIONS'!$K$2:$K$22)</f>
        <v/>
      </c>
    </row>
    <row r="16" ht="28" customHeight="1">
      <c r="B16" s="21">
        <f>CALCULATIONS!A13</f>
        <v/>
      </c>
      <c r="C16" s="22">
        <f>CALCULATIONS!C13</f>
        <v/>
      </c>
      <c r="D16" s="23">
        <f>COUNTIF('CALCULATIONS'!$L$2:$P$22,B16)/COUNTA('CALCULATIONS'!$K$2:$K$22)</f>
        <v/>
      </c>
    </row>
    <row r="17" ht="28" customHeight="1">
      <c r="B17" s="16">
        <f>CALCULATIONS!A14</f>
        <v/>
      </c>
      <c r="C17" s="19">
        <f>CALCULATIONS!C14</f>
        <v/>
      </c>
      <c r="D17" s="20">
        <f>COUNTIF('CALCULATIONS'!$L$2:$P$22,B17)/COUNTA('CALCULATIONS'!$K$2:$K$22)</f>
        <v/>
      </c>
    </row>
    <row r="18" ht="28" customHeight="1">
      <c r="B18" s="21">
        <f>CALCULATIONS!A15</f>
        <v/>
      </c>
      <c r="C18" s="22">
        <f>CALCULATIONS!C15</f>
        <v/>
      </c>
      <c r="D18" s="23">
        <f>COUNTIF('CALCULATIONS'!$L$2:$P$22,B18)/COUNTA('CALCULATIONS'!$K$2:$K$22)</f>
        <v/>
      </c>
    </row>
    <row r="19" ht="28" customHeight="1">
      <c r="B19" s="16">
        <f>CALCULATIONS!A16</f>
        <v/>
      </c>
      <c r="C19" s="19">
        <f>CALCULATIONS!C16</f>
        <v/>
      </c>
      <c r="D19" s="20">
        <f>COUNTIF('CALCULATIONS'!$L$2:$P$22,B19)/COUNTA('CALCULATIONS'!$K$2:$K$22)</f>
        <v/>
      </c>
    </row>
    <row r="20" ht="28" customHeight="1">
      <c r="B20" s="21">
        <f>CALCULATIONS!A17</f>
        <v/>
      </c>
      <c r="C20" s="22">
        <f>CALCULATIONS!C17</f>
        <v/>
      </c>
      <c r="D20" s="23">
        <f>COUNTIF('CALCULATIONS'!$L$2:$P$22,B20)/COUNTA('CALCULATIONS'!$K$2:$K$22)</f>
        <v/>
      </c>
    </row>
    <row r="21" ht="28" customHeight="1">
      <c r="B21" s="16">
        <f>CALCULATIONS!A18</f>
        <v/>
      </c>
      <c r="C21" s="19">
        <f>CALCULATIONS!C18</f>
        <v/>
      </c>
      <c r="D21" s="20">
        <f>COUNTIF('CALCULATIONS'!$L$2:$P$22,B21)/COUNTA('CALCULATIONS'!$K$2:$K$22)</f>
        <v/>
      </c>
    </row>
    <row r="22" ht="28" customHeight="1">
      <c r="B22" s="21">
        <f>CALCULATIONS!A19</f>
        <v/>
      </c>
      <c r="C22" s="22">
        <f>CALCULATIONS!C19</f>
        <v/>
      </c>
      <c r="D22" s="23">
        <f>COUNTIF('CALCULATIONS'!$L$2:$P$22,B22)/COUNTA('CALCULATIONS'!$K$2:$K$22)</f>
        <v/>
      </c>
    </row>
    <row r="23" ht="28" customHeight="1">
      <c r="B23" s="16">
        <f>CALCULATIONS!A20</f>
        <v/>
      </c>
      <c r="C23" s="19">
        <f>CALCULATIONS!C20</f>
        <v/>
      </c>
      <c r="D23" s="20">
        <f>COUNTIF('CALCULATIONS'!$L$2:$P$22,B23)/COUNTA('CALCULATIONS'!$K$2:$K$22)</f>
        <v/>
      </c>
    </row>
    <row r="24" ht="28" customHeight="1">
      <c r="B24" s="21">
        <f>CALCULATIONS!A21</f>
        <v/>
      </c>
      <c r="C24" s="22">
        <f>CALCULATIONS!C21</f>
        <v/>
      </c>
      <c r="D24" s="23">
        <f>COUNTIF('CALCULATIONS'!$L$2:$P$22,B24)/COUNTA('CALCULATIONS'!$K$2:$K$22)</f>
        <v/>
      </c>
    </row>
    <row r="25" ht="28" customHeight="1">
      <c r="B25" s="16">
        <f>CALCULATIONS!A22</f>
        <v/>
      </c>
      <c r="C25" s="19">
        <f>CALCULATIONS!C22</f>
        <v/>
      </c>
      <c r="D25" s="20">
        <f>COUNTIF('CALCULATIONS'!$L$2:$P$22,B25)/COUNTA('CALCULATIONS'!$K$2:$K$22)</f>
        <v/>
      </c>
    </row>
    <row r="28">
      <c r="B28" s="24" t="inlineStr">
        <is>
          <t>PRICE RULES
Prices move after each Gameweek in £0.5m steps, from -£2.0m to +£2.0m.
Minimum £6.0m  •  Maximum £13.0m</t>
        </is>
      </c>
    </row>
    <row r="29"/>
    <row r="30"/>
  </sheetData>
  <mergeCells count="4">
    <mergeCell ref="B1:D1"/>
    <mergeCell ref="B2:D2"/>
    <mergeCell ref="B28:D30"/>
    <mergeCell ref="B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/>
  </sheetPr>
  <dimension ref="B1:E33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2" customWidth="1" min="3" max="3"/>
    <col width="14" customWidth="1" min="4" max="4"/>
    <col width="14" customWidth="1" min="5" max="5"/>
  </cols>
  <sheetData>
    <row r="1" ht="52" customHeight="1">
      <c r="B1" s="1" t="inlineStr">
        <is>
          <t>LEADERBOARD</t>
        </is>
      </c>
    </row>
    <row r="2" ht="30" customHeight="1">
      <c r="B2" s="11" t="inlineStr">
        <is>
          <t>Season so far</t>
        </is>
      </c>
    </row>
    <row r="3" ht="12" customHeight="1"/>
    <row r="4" ht="32" customHeight="1">
      <c r="B4" s="12" t="inlineStr">
        <is>
          <t>Rank</t>
        </is>
      </c>
      <c r="C4" s="12" t="inlineStr">
        <is>
          <t>Manager</t>
        </is>
      </c>
      <c r="D4" s="12" t="inlineStr">
        <is>
          <t>GW1</t>
        </is>
      </c>
      <c r="E4" s="12" t="inlineStr">
        <is>
          <t>Overall</t>
        </is>
      </c>
    </row>
    <row r="5" ht="30" customHeight="1">
      <c r="B5" s="25">
        <f>RANK(E5,$E$5:$E$25,0)</f>
        <v/>
      </c>
      <c r="C5" s="16">
        <f>CALCULATIONS!K2</f>
        <v/>
      </c>
      <c r="D5" s="26">
        <f>CALCULATIONS!T2</f>
        <v/>
      </c>
      <c r="E5" s="25">
        <f>D5</f>
        <v/>
      </c>
    </row>
    <row r="6" ht="30" customHeight="1">
      <c r="B6" s="27">
        <f>RANK(E6,$E$5:$E$25,0)</f>
        <v/>
      </c>
      <c r="C6" s="21">
        <f>CALCULATIONS!K3</f>
        <v/>
      </c>
      <c r="D6" s="14">
        <f>CALCULATIONS!T3</f>
        <v/>
      </c>
      <c r="E6" s="27">
        <f>D6</f>
        <v/>
      </c>
    </row>
    <row r="7" ht="30" customHeight="1">
      <c r="B7" s="25">
        <f>RANK(E7,$E$5:$E$25,0)</f>
        <v/>
      </c>
      <c r="C7" s="16">
        <f>CALCULATIONS!K4</f>
        <v/>
      </c>
      <c r="D7" s="26">
        <f>CALCULATIONS!T4</f>
        <v/>
      </c>
      <c r="E7" s="25">
        <f>D7</f>
        <v/>
      </c>
    </row>
    <row r="8" ht="30" customHeight="1">
      <c r="B8" s="27">
        <f>RANK(E8,$E$5:$E$25,0)</f>
        <v/>
      </c>
      <c r="C8" s="21">
        <f>CALCULATIONS!K5</f>
        <v/>
      </c>
      <c r="D8" s="14">
        <f>CALCULATIONS!T5</f>
        <v/>
      </c>
      <c r="E8" s="27">
        <f>D8</f>
        <v/>
      </c>
    </row>
    <row r="9" ht="30" customHeight="1">
      <c r="B9" s="25">
        <f>RANK(E9,$E$5:$E$25,0)</f>
        <v/>
      </c>
      <c r="C9" s="16">
        <f>CALCULATIONS!K6</f>
        <v/>
      </c>
      <c r="D9" s="26">
        <f>CALCULATIONS!T6</f>
        <v/>
      </c>
      <c r="E9" s="25">
        <f>D9</f>
        <v/>
      </c>
    </row>
    <row r="10" ht="30" customHeight="1">
      <c r="B10" s="27">
        <f>RANK(E10,$E$5:$E$25,0)</f>
        <v/>
      </c>
      <c r="C10" s="21">
        <f>CALCULATIONS!K7</f>
        <v/>
      </c>
      <c r="D10" s="14">
        <f>CALCULATIONS!T7</f>
        <v/>
      </c>
      <c r="E10" s="27">
        <f>D10</f>
        <v/>
      </c>
    </row>
    <row r="11" ht="30" customHeight="1">
      <c r="B11" s="25">
        <f>RANK(E11,$E$5:$E$25,0)</f>
        <v/>
      </c>
      <c r="C11" s="16">
        <f>CALCULATIONS!K8</f>
        <v/>
      </c>
      <c r="D11" s="26">
        <f>CALCULATIONS!T8</f>
        <v/>
      </c>
      <c r="E11" s="25">
        <f>D11</f>
        <v/>
      </c>
    </row>
    <row r="12" ht="30" customHeight="1">
      <c r="B12" s="27">
        <f>RANK(E12,$E$5:$E$25,0)</f>
        <v/>
      </c>
      <c r="C12" s="21">
        <f>CALCULATIONS!K9</f>
        <v/>
      </c>
      <c r="D12" s="14">
        <f>CALCULATIONS!T9</f>
        <v/>
      </c>
      <c r="E12" s="27">
        <f>D12</f>
        <v/>
      </c>
    </row>
    <row r="13" ht="30" customHeight="1">
      <c r="B13" s="25">
        <f>RANK(E13,$E$5:$E$25,0)</f>
        <v/>
      </c>
      <c r="C13" s="16">
        <f>CALCULATIONS!K10</f>
        <v/>
      </c>
      <c r="D13" s="26">
        <f>CALCULATIONS!T10</f>
        <v/>
      </c>
      <c r="E13" s="25">
        <f>D13</f>
        <v/>
      </c>
    </row>
    <row r="14" ht="30" customHeight="1">
      <c r="B14" s="27">
        <f>RANK(E14,$E$5:$E$25,0)</f>
        <v/>
      </c>
      <c r="C14" s="21">
        <f>CALCULATIONS!K11</f>
        <v/>
      </c>
      <c r="D14" s="14">
        <f>CALCULATIONS!T11</f>
        <v/>
      </c>
      <c r="E14" s="27">
        <f>D14</f>
        <v/>
      </c>
    </row>
    <row r="15" ht="30" customHeight="1">
      <c r="B15" s="25">
        <f>RANK(E15,$E$5:$E$25,0)</f>
        <v/>
      </c>
      <c r="C15" s="16">
        <f>CALCULATIONS!K12</f>
        <v/>
      </c>
      <c r="D15" s="26">
        <f>CALCULATIONS!T12</f>
        <v/>
      </c>
      <c r="E15" s="25">
        <f>D15</f>
        <v/>
      </c>
    </row>
    <row r="16" ht="30" customHeight="1">
      <c r="B16" s="27">
        <f>RANK(E16,$E$5:$E$25,0)</f>
        <v/>
      </c>
      <c r="C16" s="21">
        <f>CALCULATIONS!K13</f>
        <v/>
      </c>
      <c r="D16" s="14">
        <f>CALCULATIONS!T13</f>
        <v/>
      </c>
      <c r="E16" s="27">
        <f>D16</f>
        <v/>
      </c>
    </row>
    <row r="17" ht="30" customHeight="1">
      <c r="B17" s="25">
        <f>RANK(E17,$E$5:$E$25,0)</f>
        <v/>
      </c>
      <c r="C17" s="16">
        <f>CALCULATIONS!K14</f>
        <v/>
      </c>
      <c r="D17" s="26">
        <f>CALCULATIONS!T14</f>
        <v/>
      </c>
      <c r="E17" s="25">
        <f>D17</f>
        <v/>
      </c>
    </row>
    <row r="18" ht="30" customHeight="1">
      <c r="B18" s="27">
        <f>RANK(E18,$E$5:$E$25,0)</f>
        <v/>
      </c>
      <c r="C18" s="21">
        <f>CALCULATIONS!K15</f>
        <v/>
      </c>
      <c r="D18" s="14">
        <f>CALCULATIONS!T15</f>
        <v/>
      </c>
      <c r="E18" s="27">
        <f>D18</f>
        <v/>
      </c>
    </row>
    <row r="19" ht="30" customHeight="1">
      <c r="B19" s="25">
        <f>RANK(E19,$E$5:$E$25,0)</f>
        <v/>
      </c>
      <c r="C19" s="16">
        <f>CALCULATIONS!K16</f>
        <v/>
      </c>
      <c r="D19" s="26">
        <f>CALCULATIONS!T16</f>
        <v/>
      </c>
      <c r="E19" s="25">
        <f>D19</f>
        <v/>
      </c>
    </row>
    <row r="20" ht="30" customHeight="1">
      <c r="B20" s="27">
        <f>RANK(E20,$E$5:$E$25,0)</f>
        <v/>
      </c>
      <c r="C20" s="21">
        <f>CALCULATIONS!K17</f>
        <v/>
      </c>
      <c r="D20" s="14">
        <f>CALCULATIONS!T17</f>
        <v/>
      </c>
      <c r="E20" s="27">
        <f>D20</f>
        <v/>
      </c>
    </row>
    <row r="21" ht="30" customHeight="1">
      <c r="B21" s="25">
        <f>RANK(E21,$E$5:$E$25,0)</f>
        <v/>
      </c>
      <c r="C21" s="16">
        <f>CALCULATIONS!K18</f>
        <v/>
      </c>
      <c r="D21" s="26">
        <f>CALCULATIONS!T18</f>
        <v/>
      </c>
      <c r="E21" s="25">
        <f>D21</f>
        <v/>
      </c>
    </row>
    <row r="22" ht="30" customHeight="1">
      <c r="B22" s="27">
        <f>RANK(E22,$E$5:$E$25,0)</f>
        <v/>
      </c>
      <c r="C22" s="21">
        <f>CALCULATIONS!K19</f>
        <v/>
      </c>
      <c r="D22" s="14">
        <f>CALCULATIONS!T19</f>
        <v/>
      </c>
      <c r="E22" s="27">
        <f>D22</f>
        <v/>
      </c>
    </row>
    <row r="23" ht="30" customHeight="1">
      <c r="B23" s="25">
        <f>RANK(E23,$E$5:$E$25,0)</f>
        <v/>
      </c>
      <c r="C23" s="16">
        <f>CALCULATIONS!K20</f>
        <v/>
      </c>
      <c r="D23" s="26">
        <f>CALCULATIONS!T20</f>
        <v/>
      </c>
      <c r="E23" s="25">
        <f>D23</f>
        <v/>
      </c>
    </row>
    <row r="24" ht="30" customHeight="1">
      <c r="B24" s="27">
        <f>RANK(E24,$E$5:$E$25,0)</f>
        <v/>
      </c>
      <c r="C24" s="21">
        <f>CALCULATIONS!K21</f>
        <v/>
      </c>
      <c r="D24" s="14">
        <f>CALCULATIONS!T21</f>
        <v/>
      </c>
      <c r="E24" s="27">
        <f>D24</f>
        <v/>
      </c>
    </row>
    <row r="25" ht="30" customHeight="1">
      <c r="B25" s="25">
        <f>RANK(E25,$E$5:$E$25,0)</f>
        <v/>
      </c>
      <c r="C25" s="16">
        <f>CALCULATIONS!K22</f>
        <v/>
      </c>
      <c r="D25" s="26">
        <f>CALCULATIONS!T22</f>
        <v/>
      </c>
      <c r="E25" s="25">
        <f>D25</f>
        <v/>
      </c>
    </row>
    <row r="28" ht="32" customHeight="1">
      <c r="B28" s="6" t="inlineStr">
        <is>
          <t>AWARDS</t>
        </is>
      </c>
    </row>
    <row r="29" ht="32" customHeight="1">
      <c r="B29" s="28" t="inlineStr">
        <is>
          <t>🏆 Highest Scorer</t>
        </is>
      </c>
      <c r="C29" s="29">
        <f>INDEX(C5:C25,MATCH(MAX(E5:E25),E5:E25,0))</f>
        <v/>
      </c>
    </row>
    <row r="30" ht="32" customHeight="1">
      <c r="B30" s="28" t="inlineStr">
        <is>
          <t>📈 Most Improved Player</t>
        </is>
      </c>
      <c r="C30" s="29" t="inlineStr">
        <is>
          <t>Coming after Gameweek 2</t>
        </is>
      </c>
    </row>
    <row r="31" ht="32" customHeight="1">
      <c r="B31" s="28" t="inlineStr">
        <is>
          <t>🔥 Most Selected Player</t>
        </is>
      </c>
      <c r="C31" s="29">
        <f>INDEX('PLAYER MARKET'!B5:B25,MATCH(MAX('PLAYER MARKET'!D5:D25),'PLAYER MARKET'!D5:D25,0))</f>
        <v/>
      </c>
    </row>
    <row r="32" ht="32" customHeight="1">
      <c r="B32" s="28" t="inlineStr">
        <is>
          <t>🎯 Best Captain Pick</t>
        </is>
      </c>
      <c r="C32" s="29" t="inlineStr">
        <is>
          <t>Coming after Gameweek 1 scoring is fully entered</t>
        </is>
      </c>
    </row>
    <row r="33" ht="32" customHeight="1">
      <c r="B33" s="28" t="inlineStr">
        <is>
          <t>💎 Best Value Player</t>
        </is>
      </c>
      <c r="C33" s="29">
        <f>INDEX('PLAYER MARKET'!B5:B25,MATCH(MAX('PLAYER MARKET'!C5:C25),'PLAYER MARKET'!C5:C25,0))</f>
        <v/>
      </c>
    </row>
  </sheetData>
  <mergeCells count="9">
    <mergeCell ref="C33:E33"/>
    <mergeCell ref="B1:E1"/>
    <mergeCell ref="C31:E31"/>
    <mergeCell ref="B3:E3"/>
    <mergeCell ref="B2:E2"/>
    <mergeCell ref="C29:E29"/>
    <mergeCell ref="C30:E30"/>
    <mergeCell ref="B28:E28"/>
    <mergeCell ref="C32:E32"/>
  </mergeCells>
  <conditionalFormatting sqref="B5:B25">
    <cfRule type="expression" priority="1" dxfId="0">
      <formula>$B5=1</formula>
    </cfRule>
    <cfRule type="expression" priority="2" dxfId="1">
      <formula>$B5=2</formula>
    </cfRule>
    <cfRule type="expression" priority="3" dxfId="2">
      <formula>$B5=3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B1:C24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2" customWidth="1" min="3" max="3"/>
  </cols>
  <sheetData>
    <row r="1" ht="52" customHeight="1">
      <c r="B1" s="1" t="inlineStr">
        <is>
          <t>RULES &amp; HOW TO PLAY</t>
        </is>
      </c>
    </row>
    <row r="4" ht="40" customHeight="1">
      <c r="B4" s="28" t="inlineStr">
        <is>
          <t>BUDGET</t>
        </is>
      </c>
      <c r="C4" s="30" t="inlineStr">
        <is>
          <t>£50.0m per manager. Pick exactly 5 players. Squad value cannot exceed £50.0m.</t>
        </is>
      </c>
    </row>
    <row r="5" ht="8" customHeight="1"/>
    <row r="6" ht="40" customHeight="1">
      <c r="B6" s="28" t="inlineStr">
        <is>
          <t>CAPTAIN</t>
        </is>
      </c>
      <c r="C6" s="30" t="inlineStr">
        <is>
          <t>Choose 1 captain. The captain scores 2× their normal Gameweek points.</t>
        </is>
      </c>
    </row>
    <row r="7" ht="8" customHeight="1"/>
    <row r="8" ht="40" customHeight="1">
      <c r="B8" s="28" t="inlineStr">
        <is>
          <t>DEADLINE</t>
        </is>
      </c>
      <c r="C8" s="30" t="inlineStr">
        <is>
          <t>Gameweek 1 deadline: 27 September 2026 at 11:59 PM.</t>
        </is>
      </c>
    </row>
    <row r="9" ht="8" customHeight="1"/>
    <row r="10" ht="40" customHeight="1">
      <c r="B10" s="28" t="inlineStr">
        <is>
          <t>TEST DATE</t>
        </is>
      </c>
      <c r="C10" s="30" t="inlineStr">
        <is>
          <t>Biology test: 28 September 2026.</t>
        </is>
      </c>
    </row>
    <row r="11" ht="8" customHeight="1"/>
    <row r="12" ht="40" customHeight="1">
      <c r="B12" s="28" t="inlineStr">
        <is>
          <t>RESULT ENTRY</t>
        </is>
      </c>
      <c r="C12" s="30" t="inlineStr">
        <is>
          <t>After the test, each student enters only their own percentage on TEST RESULTS.</t>
        </is>
      </c>
    </row>
    <row r="13" ht="8" customHeight="1"/>
    <row r="14" ht="40" customHeight="1">
      <c r="B14" s="28" t="inlineStr">
        <is>
          <t>POINTS</t>
        </is>
      </c>
      <c r="C14" s="30" t="inlineStr">
        <is>
          <t>90–100 = 10 • 80–89 = 8 • 70–79 = 6 • 60–69 = 5 • 50–59 = 3 • 40–49 = 2 • Below 40 = 1.</t>
        </is>
      </c>
    </row>
    <row r="15" ht="8" customHeight="1"/>
    <row r="16" ht="40" customHeight="1">
      <c r="B16" s="28" t="inlineStr">
        <is>
          <t>PRICE CHANGES</t>
        </is>
      </c>
      <c r="C16" s="30" t="inlineStr">
        <is>
          <t>Prices update after each Gameweek. 10 → +£2.0m • 8 → +£1.5m • 6 → +£1.0m • 5 → £0 • 3 → -£1.0m • 2 → -£1.5m • 1 → -£2.0m.</t>
        </is>
      </c>
    </row>
    <row r="17" ht="8" customHeight="1"/>
    <row r="18" ht="40" customHeight="1">
      <c r="B18" s="28" t="inlineStr">
        <is>
          <t>PRICE LIMITS</t>
        </is>
      </c>
      <c r="C18" s="30" t="inlineStr">
        <is>
          <t>Minimum £6.0m. Maximum £13.0m. Prices move only in £0.5m increments.</t>
        </is>
      </c>
    </row>
    <row r="19" ht="8" customHeight="1"/>
    <row r="20" ht="40" customHeight="1">
      <c r="B20" s="28" t="inlineStr">
        <is>
          <t>TRANSFERS</t>
        </is>
      </c>
      <c r="C20" s="30" t="inlineStr">
        <is>
          <t>After every Gameweek: unlimited transfers, free transfers, no penalties, captains can change.</t>
        </is>
      </c>
    </row>
    <row r="21" ht="8" customHeight="1"/>
    <row r="22" ht="40" customHeight="1">
      <c r="B22" s="28" t="inlineStr">
        <is>
          <t>TRANSFER DEADLINE</t>
        </is>
      </c>
      <c r="C22" s="30" t="inlineStr">
        <is>
          <t>The transfer window closes at the next Gameweek deadline.</t>
        </is>
      </c>
    </row>
    <row r="23" ht="8" customHeight="1"/>
    <row r="24" ht="40" customHeight="1">
      <c r="B24" s="28" t="inlineStr">
        <is>
          <t>GOLDEN RULE</t>
        </is>
      </c>
      <c r="C24" s="30" t="inlineStr">
        <is>
          <t>Users only need to pick 5 players, pick a captain and enter their own test result. Excel handles the rest.</t>
        </is>
      </c>
    </row>
    <row r="25" ht="8" customHeight="1"/>
  </sheetData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ALEXA AMESIMEKU'S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='Alexa Amesimeku'!$C$10:$C$14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ALFIE FOLEY'S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='Alfie Foley'!$C$10:$C$14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ALYZA RAI'S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='Alyza Rai'!$C$10:$C$14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AVA SWINFEN'S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='Ava Swinfen'!$C$10:$C$14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AZLAN HUSAIN'S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='Azlan Husain'!$C$10:$C$14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CHINEDU CHILE'S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='Chinedu Chile'!$C$10:$C$14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DANIEL LIU'S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='Daniel Liu'!$C$10:$C$14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DAVID WU'S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='David Wu'!$C$10:$C$14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EDWIN MAYERS'S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='Edwin Mayers'!$C$10:$C$14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EMILY WARBURTON'S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='Emily Warburton'!$C$10:$C$14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ESME BESTON'S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='Esme Beston'!$C$10:$C$14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IONA SMITH'S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='Iona Smith'!$C$10:$C$14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JOE PAIGE'S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='Joe Paige'!$C$10:$C$14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LIA LI'S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='Lia Li'!$C$10:$C$14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MELODY ZHAEENTAN'S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='Melody Zhaeentan'!$C$10:$C$14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NINA DE SARAM'S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='Nina De Saram'!$C$10:$C$14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OSCAR DAY-DURAN'S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='Oscar Day-Duran'!$C$10:$C$14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REBECCA SEYMOUR'S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='Rebecca Seymour'!$C$10:$C$14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RORY BOWMAN'S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='Rory Bowman'!$C$10:$C$14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SOPHIE BARKER'S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='Sophie Barker'!$C$10:$C$14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475569"/>
    <outlinePr summaryBelow="1" summaryRight="1"/>
    <pageSetUpPr/>
  </sheetPr>
  <dimension ref="B1:F35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" customWidth="1" min="7" max="7"/>
  </cols>
  <sheetData>
    <row r="1" ht="52" customHeight="1">
      <c r="B1" s="1" t="inlineStr">
        <is>
          <t>XANDER MEIJER'S TEAM</t>
        </is>
      </c>
    </row>
    <row r="2" ht="30" customHeight="1">
      <c r="B2" s="31" t="inlineStr">
        <is>
          <t>← Back to PICK YOUR TEAM</t>
        </is>
      </c>
    </row>
    <row r="3" ht="12" customHeight="1"/>
    <row r="4" ht="32" customHeight="1">
      <c r="B4" s="6" t="inlineStr">
        <is>
          <t>PICK YOUR CAPTAIN  (scores 2× points)</t>
        </is>
      </c>
    </row>
    <row r="5" ht="34" customHeight="1">
      <c r="C5" s="32" t="inlineStr"/>
    </row>
    <row r="6" ht="24" customHeight="1">
      <c r="B6" s="33" t="inlineStr">
        <is>
          <t>Tip: pick your 5 players below first, then choose your captain.</t>
        </is>
      </c>
    </row>
    <row r="7" ht="12" customHeight="1"/>
    <row r="8" ht="32" customHeight="1">
      <c r="B8" s="6" t="inlineStr">
        <is>
          <t>SQUAD</t>
        </is>
      </c>
    </row>
    <row r="9" ht="32" customHeight="1">
      <c r="B9" s="12" t="inlineStr">
        <is>
          <t>Slot</t>
        </is>
      </c>
      <c r="C9" s="12" t="inlineStr">
        <is>
          <t>Player</t>
        </is>
      </c>
      <c r="D9" s="12" t="inlineStr">
        <is>
          <t>Price</t>
        </is>
      </c>
      <c r="E9" s="12" t="inlineStr">
        <is>
          <t>Captain?</t>
        </is>
      </c>
    </row>
    <row r="10" ht="32" customHeight="1">
      <c r="B10" s="27" t="n">
        <v>1</v>
      </c>
      <c r="C10" s="18" t="inlineStr"/>
      <c r="D10" s="26">
        <f>IF(C10="","",IFERROR(VLOOKUP(C10,'CALCULATIONS'!$A$2:$C$22,3,FALSE),""))</f>
        <v/>
      </c>
      <c r="E10" s="34">
        <f>IF(C10="","",IF($C$5=C10,"★ CAPTAIN",""))</f>
        <v/>
      </c>
    </row>
    <row r="11" ht="32" customHeight="1">
      <c r="B11" s="27" t="n">
        <v>2</v>
      </c>
      <c r="C11" s="18" t="inlineStr"/>
      <c r="D11" s="26">
        <f>IF(C11="","",IFERROR(VLOOKUP(C11,'CALCULATIONS'!$A$2:$C$22,3,FALSE),""))</f>
        <v/>
      </c>
      <c r="E11" s="34">
        <f>IF(C11="","",IF($C$5=C11,"★ CAPTAIN",""))</f>
        <v/>
      </c>
    </row>
    <row r="12" ht="32" customHeight="1">
      <c r="B12" s="27" t="n">
        <v>3</v>
      </c>
      <c r="C12" s="18" t="inlineStr"/>
      <c r="D12" s="26">
        <f>IF(C12="","",IFERROR(VLOOKUP(C12,'CALCULATIONS'!$A$2:$C$22,3,FALSE),""))</f>
        <v/>
      </c>
      <c r="E12" s="34">
        <f>IF(C12="","",IF($C$5=C12,"★ CAPTAIN",""))</f>
        <v/>
      </c>
    </row>
    <row r="13" ht="32" customHeight="1">
      <c r="B13" s="27" t="n">
        <v>4</v>
      </c>
      <c r="C13" s="18" t="inlineStr"/>
      <c r="D13" s="26">
        <f>IF(C13="","",IFERROR(VLOOKUP(C13,'CALCULATIONS'!$A$2:$C$22,3,FALSE),""))</f>
        <v/>
      </c>
      <c r="E13" s="34">
        <f>IF(C13="","",IF($C$5=C13,"★ CAPTAIN",""))</f>
        <v/>
      </c>
    </row>
    <row r="14" ht="32" customHeight="1">
      <c r="B14" s="27" t="n">
        <v>5</v>
      </c>
      <c r="C14" s="18" t="inlineStr"/>
      <c r="D14" s="26">
        <f>IF(C14="","",IFERROR(VLOOKUP(C14,'CALCULATIONS'!$A$2:$C$22,3,FALSE),""))</f>
        <v/>
      </c>
      <c r="E14" s="34">
        <f>IF(C14="","",IF($C$5=C14,"★ CAPTAIN",""))</f>
        <v/>
      </c>
    </row>
    <row r="15" ht="12" customHeight="1"/>
    <row r="16" ht="32" customHeight="1">
      <c r="B16" s="6" t="inlineStr">
        <is>
          <t>TEAM SUMMARY</t>
        </is>
      </c>
    </row>
    <row r="17" ht="30" customHeight="1">
      <c r="B17" s="28" t="inlineStr">
        <is>
          <t>Team Value</t>
        </is>
      </c>
      <c r="C17" s="35">
        <f>SUM(D10:D14)</f>
        <v/>
      </c>
    </row>
    <row r="18" ht="30" customHeight="1">
      <c r="B18" s="28" t="inlineStr">
        <is>
          <t>Budget Left</t>
        </is>
      </c>
      <c r="C18" s="35">
        <f>50-C17</f>
        <v/>
      </c>
    </row>
    <row r="19" ht="30" customHeight="1">
      <c r="B19" s="28" t="inlineStr">
        <is>
          <t>GW Score</t>
        </is>
      </c>
      <c r="C19" s="36">
        <f>IF($C$20="VALID TEAM",SUMIF('CALCULATIONS'!$A$2:$A$22,C10:C14,'CALCULATIONS'!$D$2:$D$22)+SUMIF('CALCULATIONS'!$A$2:$A$22,C5,'CALCULATIONS'!$D$2:$D$22),0)</f>
        <v/>
      </c>
    </row>
    <row r="20" ht="30" customHeight="1">
      <c r="B20" s="28" t="inlineStr">
        <is>
          <t>Team Status</t>
        </is>
      </c>
      <c r="C20" s="37">
        <f>IF(COUNTBLANK(C10:C14)&gt;0,"LESS THAN 5 PLAYERS",IF(SUM(D10:D14)&gt;50,"OVER BUDGET",IF(C5="","NO CAPTAIN",IF(COUNTIF(C10:C14,C5)=0,"CAPTAIN NOT IN SQUAD",IF(SUMPRODUCT(COUNTIF(C10:C14,C10:C14))&gt;5,"DUPLICATE PLAYER","VALID TEAM")))))</f>
        <v/>
      </c>
    </row>
    <row r="21" ht="12" customHeight="1"/>
    <row r="22">
      <c r="B22" s="18" t="inlineStr">
        <is>
          <t>INPUT CELLS ARE GOLD.
Only the captain cell (C5) and the 5 player cells (C10:C14) should be edited.
Everything else is calculated automatically.</t>
        </is>
      </c>
    </row>
    <row r="23"/>
    <row r="24"/>
    <row r="25" ht="12" customHeight="1"/>
    <row r="26" ht="32" customHeight="1">
      <c r="B26" s="38" t="inlineStr">
        <is>
          <t>EXAMPLE  (do not edit — for reference only)</t>
        </is>
      </c>
    </row>
    <row r="27" ht="32" customHeight="1">
      <c r="B27" s="39" t="inlineStr">
        <is>
          <t>Slot</t>
        </is>
      </c>
      <c r="C27" s="39" t="inlineStr">
        <is>
          <t>Player</t>
        </is>
      </c>
      <c r="D27" s="39" t="inlineStr">
        <is>
          <t>Price</t>
        </is>
      </c>
      <c r="E27" s="39" t="inlineStr">
        <is>
          <t>Captain?</t>
        </is>
      </c>
    </row>
    <row r="28" ht="28" customHeight="1">
      <c r="B28" s="27" t="n">
        <v>1</v>
      </c>
      <c r="C28" s="16" t="inlineStr">
        <is>
          <t>Chinedu Chile</t>
        </is>
      </c>
      <c r="D28" s="26" t="inlineStr">
        <is>
          <t>£11.0m</t>
        </is>
      </c>
      <c r="E28" s="34" t="inlineStr"/>
    </row>
    <row r="29" ht="28" customHeight="1">
      <c r="B29" s="27" t="n">
        <v>2</v>
      </c>
      <c r="C29" s="16" t="inlineStr">
        <is>
          <t>Emily Warburton</t>
        </is>
      </c>
      <c r="D29" s="26" t="inlineStr">
        <is>
          <t>£11.0m</t>
        </is>
      </c>
      <c r="E29" s="34" t="inlineStr">
        <is>
          <t>★ CAPTAIN</t>
        </is>
      </c>
    </row>
    <row r="30" ht="28" customHeight="1">
      <c r="B30" s="27" t="n">
        <v>3</v>
      </c>
      <c r="C30" s="16" t="inlineStr">
        <is>
          <t>Joe Paige</t>
        </is>
      </c>
      <c r="D30" s="26" t="inlineStr">
        <is>
          <t>£10.5m</t>
        </is>
      </c>
      <c r="E30" s="34" t="inlineStr"/>
    </row>
    <row r="31" ht="28" customHeight="1">
      <c r="B31" s="27" t="n">
        <v>4</v>
      </c>
      <c r="C31" s="16" t="inlineStr">
        <is>
          <t>Edwin Mayers</t>
        </is>
      </c>
      <c r="D31" s="26" t="inlineStr">
        <is>
          <t>£9.0m</t>
        </is>
      </c>
      <c r="E31" s="34" t="inlineStr"/>
    </row>
    <row r="32" ht="28" customHeight="1">
      <c r="B32" s="27" t="n">
        <v>5</v>
      </c>
      <c r="C32" s="16" t="inlineStr">
        <is>
          <t>Alfie Foley</t>
        </is>
      </c>
      <c r="D32" s="26" t="inlineStr">
        <is>
          <t>£7.5m</t>
        </is>
      </c>
      <c r="E32" s="34" t="inlineStr"/>
    </row>
    <row r="33" ht="28" customHeight="1">
      <c r="B33" s="28" t="inlineStr">
        <is>
          <t>CAPTAIN</t>
        </is>
      </c>
      <c r="C33" s="29" t="inlineStr">
        <is>
          <t>Emily Warburton</t>
        </is>
      </c>
    </row>
    <row r="34" ht="28" customHeight="1">
      <c r="B34" s="28" t="inlineStr">
        <is>
          <t>TEAM VALUE</t>
        </is>
      </c>
      <c r="C34" s="29" t="inlineStr">
        <is>
          <t>£49.0m     BUDGET LEFT  £1.0m</t>
        </is>
      </c>
    </row>
    <row r="35" ht="28" customHeight="1">
      <c r="B35" s="28" t="inlineStr">
        <is>
          <t>STATUS</t>
        </is>
      </c>
      <c r="C35" s="40" t="inlineStr">
        <is>
          <t>✓ VALID TEAM</t>
        </is>
      </c>
    </row>
  </sheetData>
  <mergeCells count="11">
    <mergeCell ref="B4:F4"/>
    <mergeCell ref="B6:F6"/>
    <mergeCell ref="B26:F26"/>
    <mergeCell ref="B2:F2"/>
    <mergeCell ref="B16:F16"/>
    <mergeCell ref="C35:F35"/>
    <mergeCell ref="C34:F34"/>
    <mergeCell ref="C33:F33"/>
    <mergeCell ref="B1:F1"/>
    <mergeCell ref="B8:F8"/>
    <mergeCell ref="B22:F24"/>
  </mergeCells>
  <conditionalFormatting sqref="C20">
    <cfRule type="expression" priority="1" dxfId="3">
      <formula>C20="VALID TEAM"</formula>
    </cfRule>
    <cfRule type="expression" priority="2" dxfId="4">
      <formula>C20&lt;&gt;"VALID TEAM"</formula>
    </cfRule>
  </conditionalFormatting>
  <dataValidations count="2">
    <dataValidation sqref="C10:C14" showDropDown="0" showInputMessage="1" showErrorMessage="1" allowBlank="1" errorTitle="Invalid player" error="Please choose a player from the dropdown list." promptTitle="Pick a player" prompt="Click the arrow to choose a player." type="list">
      <formula1>=CALCULATIONS!$A$2:$A$22</formula1>
    </dataValidation>
    <dataValidation sqref="C5" showDropDown="0" showInputMessage="1" showErrorMessage="1" allowBlank="1" errorTitle="Invalid captain" error="Choose one of your 5 players." promptTitle="Pick a captain" prompt="Pick your captain from your 5 players." type="list">
      <formula1>='Xander Meijer'!$C$10:$C$14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64748B"/>
    <outlinePr summaryBelow="1" summaryRight="1"/>
    <pageSetUpPr/>
  </sheetPr>
  <dimension ref="A1:U22"/>
  <sheetViews>
    <sheetView zoomScale="90"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Base Price</t>
        </is>
      </c>
      <c r="C1" t="inlineStr">
        <is>
          <t>Current Price</t>
        </is>
      </c>
      <c r="D1" t="inlineStr">
        <is>
          <t>Points</t>
        </is>
      </c>
      <c r="E1" t="inlineStr">
        <is>
          <t>Δ</t>
        </is>
      </c>
      <c r="K1" t="inlineStr">
        <is>
          <t>Manager</t>
        </is>
      </c>
      <c r="L1" t="inlineStr">
        <is>
          <t>P1</t>
        </is>
      </c>
      <c r="M1" t="inlineStr">
        <is>
          <t>P2</t>
        </is>
      </c>
      <c r="N1" t="inlineStr">
        <is>
          <t>P3</t>
        </is>
      </c>
      <c r="O1" t="inlineStr">
        <is>
          <t>P4</t>
        </is>
      </c>
      <c r="P1" t="inlineStr">
        <is>
          <t>P5</t>
        </is>
      </c>
      <c r="Q1" t="inlineStr">
        <is>
          <t>Captain</t>
        </is>
      </c>
      <c r="R1" t="inlineStr">
        <is>
          <t>Team Value</t>
        </is>
      </c>
      <c r="S1" t="inlineStr">
        <is>
          <t>Budget Left</t>
        </is>
      </c>
      <c r="T1" t="inlineStr">
        <is>
          <t>GW Score</t>
        </is>
      </c>
      <c r="U1" t="inlineStr">
        <is>
          <t>Status</t>
        </is>
      </c>
    </row>
    <row r="2">
      <c r="A2" t="inlineStr">
        <is>
          <t>Lia Li</t>
        </is>
      </c>
      <c r="B2" t="n">
        <v>13</v>
      </c>
      <c r="C2">
        <f>MIN(13,MAX(6,B2+E2))</f>
        <v/>
      </c>
      <c r="D2">
        <f>IFERROR(IF('TEST RESULTS'!C2="",0,IF('TEST RESULTS'!C2&gt;=90,10,IF('TEST RESULTS'!C2&gt;=80,8,IF('TEST RESULTS'!C2&gt;=70,6,IF('TEST RESULTS'!C2&gt;=60,5,IF('TEST RESULTS'!C2&gt;=50,3,IF('TEST RESULTS'!C2&gt;=40,2,1))))))),0)</f>
        <v/>
      </c>
      <c r="E2">
        <f>IF(D2=10,2,IF(D2=8,1.5,IF(D2=6,1,IF(D2=5,0,IF(D2=3,-1,IF(D2=2,-1.5,IF(D2=1,-2,0)))))))</f>
        <v/>
      </c>
      <c r="K2" t="inlineStr">
        <is>
          <t>Alexa Amesimeku</t>
        </is>
      </c>
      <c r="L2">
        <f>'Alexa Amesimeku'!C10</f>
        <v/>
      </c>
      <c r="M2">
        <f>'Alexa Amesimeku'!C11</f>
        <v/>
      </c>
      <c r="N2">
        <f>'Alexa Amesimeku'!C12</f>
        <v/>
      </c>
      <c r="O2">
        <f>'Alexa Amesimeku'!C13</f>
        <v/>
      </c>
      <c r="P2">
        <f>'Alexa Amesimeku'!C14</f>
        <v/>
      </c>
      <c r="Q2">
        <f>'Alexa Amesimeku'!C5</f>
        <v/>
      </c>
      <c r="R2">
        <f>'Alexa Amesimeku'!C17</f>
        <v/>
      </c>
      <c r="S2">
        <f>'Alexa Amesimeku'!C18</f>
        <v/>
      </c>
      <c r="T2">
        <f>'Alexa Amesimeku'!C19</f>
        <v/>
      </c>
      <c r="U2">
        <f>'Alexa Amesimeku'!C20</f>
        <v/>
      </c>
    </row>
    <row r="3">
      <c r="A3" t="inlineStr">
        <is>
          <t>Chinedu Chile</t>
        </is>
      </c>
      <c r="B3" t="n">
        <v>11</v>
      </c>
      <c r="C3">
        <f>MIN(13,MAX(6,B3+E3))</f>
        <v/>
      </c>
      <c r="D3">
        <f>IFERROR(IF('TEST RESULTS'!C3="",0,IF('TEST RESULTS'!C3&gt;=90,10,IF('TEST RESULTS'!C3&gt;=80,8,IF('TEST RESULTS'!C3&gt;=70,6,IF('TEST RESULTS'!C3&gt;=60,5,IF('TEST RESULTS'!C3&gt;=50,3,IF('TEST RESULTS'!C3&gt;=40,2,1))))))),0)</f>
        <v/>
      </c>
      <c r="E3">
        <f>IF(D3=10,2,IF(D3=8,1.5,IF(D3=6,1,IF(D3=5,0,IF(D3=3,-1,IF(D3=2,-1.5,IF(D3=1,-2,0)))))))</f>
        <v/>
      </c>
      <c r="K3" t="inlineStr">
        <is>
          <t>Alfie Foley</t>
        </is>
      </c>
      <c r="L3">
        <f>'Alfie Foley'!C10</f>
        <v/>
      </c>
      <c r="M3">
        <f>'Alfie Foley'!C11</f>
        <v/>
      </c>
      <c r="N3">
        <f>'Alfie Foley'!C12</f>
        <v/>
      </c>
      <c r="O3">
        <f>'Alfie Foley'!C13</f>
        <v/>
      </c>
      <c r="P3">
        <f>'Alfie Foley'!C14</f>
        <v/>
      </c>
      <c r="Q3">
        <f>'Alfie Foley'!C5</f>
        <v/>
      </c>
      <c r="R3">
        <f>'Alfie Foley'!C17</f>
        <v/>
      </c>
      <c r="S3">
        <f>'Alfie Foley'!C18</f>
        <v/>
      </c>
      <c r="T3">
        <f>'Alfie Foley'!C19</f>
        <v/>
      </c>
      <c r="U3">
        <f>'Alfie Foley'!C20</f>
        <v/>
      </c>
    </row>
    <row r="4">
      <c r="A4" t="inlineStr">
        <is>
          <t>Emily Warburton</t>
        </is>
      </c>
      <c r="B4" t="n">
        <v>11</v>
      </c>
      <c r="C4">
        <f>MIN(13,MAX(6,B4+E4))</f>
        <v/>
      </c>
      <c r="D4">
        <f>IFERROR(IF('TEST RESULTS'!C4="",0,IF('TEST RESULTS'!C4&gt;=90,10,IF('TEST RESULTS'!C4&gt;=80,8,IF('TEST RESULTS'!C4&gt;=70,6,IF('TEST RESULTS'!C4&gt;=60,5,IF('TEST RESULTS'!C4&gt;=50,3,IF('TEST RESULTS'!C4&gt;=40,2,1))))))),0)</f>
        <v/>
      </c>
      <c r="E4">
        <f>IF(D4=10,2,IF(D4=8,1.5,IF(D4=6,1,IF(D4=5,0,IF(D4=3,-1,IF(D4=2,-1.5,IF(D4=1,-2,0)))))))</f>
        <v/>
      </c>
      <c r="K4" t="inlineStr">
        <is>
          <t>Alyza Rai</t>
        </is>
      </c>
      <c r="L4">
        <f>'Alyza Rai'!C10</f>
        <v/>
      </c>
      <c r="M4">
        <f>'Alyza Rai'!C11</f>
        <v/>
      </c>
      <c r="N4">
        <f>'Alyza Rai'!C12</f>
        <v/>
      </c>
      <c r="O4">
        <f>'Alyza Rai'!C13</f>
        <v/>
      </c>
      <c r="P4">
        <f>'Alyza Rai'!C14</f>
        <v/>
      </c>
      <c r="Q4">
        <f>'Alyza Rai'!C5</f>
        <v/>
      </c>
      <c r="R4">
        <f>'Alyza Rai'!C17</f>
        <v/>
      </c>
      <c r="S4">
        <f>'Alyza Rai'!C18</f>
        <v/>
      </c>
      <c r="T4">
        <f>'Alyza Rai'!C19</f>
        <v/>
      </c>
      <c r="U4">
        <f>'Alyza Rai'!C20</f>
        <v/>
      </c>
    </row>
    <row r="5">
      <c r="A5" t="inlineStr">
        <is>
          <t>Sophie Barker</t>
        </is>
      </c>
      <c r="B5" t="n">
        <v>11</v>
      </c>
      <c r="C5">
        <f>MIN(13,MAX(6,B5+E5))</f>
        <v/>
      </c>
      <c r="D5">
        <f>IFERROR(IF('TEST RESULTS'!C5="",0,IF('TEST RESULTS'!C5&gt;=90,10,IF('TEST RESULTS'!C5&gt;=80,8,IF('TEST RESULTS'!C5&gt;=70,6,IF('TEST RESULTS'!C5&gt;=60,5,IF('TEST RESULTS'!C5&gt;=50,3,IF('TEST RESULTS'!C5&gt;=40,2,1))))))),0)</f>
        <v/>
      </c>
      <c r="E5">
        <f>IF(D5=10,2,IF(D5=8,1.5,IF(D5=6,1,IF(D5=5,0,IF(D5=3,-1,IF(D5=2,-1.5,IF(D5=1,-2,0)))))))</f>
        <v/>
      </c>
      <c r="K5" t="inlineStr">
        <is>
          <t>Ava Swinfen</t>
        </is>
      </c>
      <c r="L5">
        <f>'Ava Swinfen'!C10</f>
        <v/>
      </c>
      <c r="M5">
        <f>'Ava Swinfen'!C11</f>
        <v/>
      </c>
      <c r="N5">
        <f>'Ava Swinfen'!C12</f>
        <v/>
      </c>
      <c r="O5">
        <f>'Ava Swinfen'!C13</f>
        <v/>
      </c>
      <c r="P5">
        <f>'Ava Swinfen'!C14</f>
        <v/>
      </c>
      <c r="Q5">
        <f>'Ava Swinfen'!C5</f>
        <v/>
      </c>
      <c r="R5">
        <f>'Ava Swinfen'!C17</f>
        <v/>
      </c>
      <c r="S5">
        <f>'Ava Swinfen'!C18</f>
        <v/>
      </c>
      <c r="T5">
        <f>'Ava Swinfen'!C19</f>
        <v/>
      </c>
      <c r="U5">
        <f>'Ava Swinfen'!C20</f>
        <v/>
      </c>
    </row>
    <row r="6">
      <c r="A6" t="inlineStr">
        <is>
          <t>Alyza Rai</t>
        </is>
      </c>
      <c r="B6" t="n">
        <v>10.5</v>
      </c>
      <c r="C6">
        <f>MIN(13,MAX(6,B6+E6))</f>
        <v/>
      </c>
      <c r="D6">
        <f>IFERROR(IF('TEST RESULTS'!C6="",0,IF('TEST RESULTS'!C6&gt;=90,10,IF('TEST RESULTS'!C6&gt;=80,8,IF('TEST RESULTS'!C6&gt;=70,6,IF('TEST RESULTS'!C6&gt;=60,5,IF('TEST RESULTS'!C6&gt;=50,3,IF('TEST RESULTS'!C6&gt;=40,2,1))))))),0)</f>
        <v/>
      </c>
      <c r="E6">
        <f>IF(D6=10,2,IF(D6=8,1.5,IF(D6=6,1,IF(D6=5,0,IF(D6=3,-1,IF(D6=2,-1.5,IF(D6=1,-2,0)))))))</f>
        <v/>
      </c>
      <c r="K6" t="inlineStr">
        <is>
          <t>Azlan Husain</t>
        </is>
      </c>
      <c r="L6">
        <f>'Azlan Husain'!C10</f>
        <v/>
      </c>
      <c r="M6">
        <f>'Azlan Husain'!C11</f>
        <v/>
      </c>
      <c r="N6">
        <f>'Azlan Husain'!C12</f>
        <v/>
      </c>
      <c r="O6">
        <f>'Azlan Husain'!C13</f>
        <v/>
      </c>
      <c r="P6">
        <f>'Azlan Husain'!C14</f>
        <v/>
      </c>
      <c r="Q6">
        <f>'Azlan Husain'!C5</f>
        <v/>
      </c>
      <c r="R6">
        <f>'Azlan Husain'!C17</f>
        <v/>
      </c>
      <c r="S6">
        <f>'Azlan Husain'!C18</f>
        <v/>
      </c>
      <c r="T6">
        <f>'Azlan Husain'!C19</f>
        <v/>
      </c>
      <c r="U6">
        <f>'Azlan Husain'!C20</f>
        <v/>
      </c>
    </row>
    <row r="7">
      <c r="A7" t="inlineStr">
        <is>
          <t>David Wu</t>
        </is>
      </c>
      <c r="B7" t="n">
        <v>10.5</v>
      </c>
      <c r="C7">
        <f>MIN(13,MAX(6,B7+E7))</f>
        <v/>
      </c>
      <c r="D7">
        <f>IFERROR(IF('TEST RESULTS'!C7="",0,IF('TEST RESULTS'!C7&gt;=90,10,IF('TEST RESULTS'!C7&gt;=80,8,IF('TEST RESULTS'!C7&gt;=70,6,IF('TEST RESULTS'!C7&gt;=60,5,IF('TEST RESULTS'!C7&gt;=50,3,IF('TEST RESULTS'!C7&gt;=40,2,1))))))),0)</f>
        <v/>
      </c>
      <c r="E7">
        <f>IF(D7=10,2,IF(D7=8,1.5,IF(D7=6,1,IF(D7=5,0,IF(D7=3,-1,IF(D7=2,-1.5,IF(D7=1,-2,0)))))))</f>
        <v/>
      </c>
      <c r="K7" t="inlineStr">
        <is>
          <t>Chinedu Chile</t>
        </is>
      </c>
      <c r="L7">
        <f>'Chinedu Chile'!C10</f>
        <v/>
      </c>
      <c r="M7">
        <f>'Chinedu Chile'!C11</f>
        <v/>
      </c>
      <c r="N7">
        <f>'Chinedu Chile'!C12</f>
        <v/>
      </c>
      <c r="O7">
        <f>'Chinedu Chile'!C13</f>
        <v/>
      </c>
      <c r="P7">
        <f>'Chinedu Chile'!C14</f>
        <v/>
      </c>
      <c r="Q7">
        <f>'Chinedu Chile'!C5</f>
        <v/>
      </c>
      <c r="R7">
        <f>'Chinedu Chile'!C17</f>
        <v/>
      </c>
      <c r="S7">
        <f>'Chinedu Chile'!C18</f>
        <v/>
      </c>
      <c r="T7">
        <f>'Chinedu Chile'!C19</f>
        <v/>
      </c>
      <c r="U7">
        <f>'Chinedu Chile'!C20</f>
        <v/>
      </c>
    </row>
    <row r="8">
      <c r="A8" t="inlineStr">
        <is>
          <t>Joe Paige</t>
        </is>
      </c>
      <c r="B8" t="n">
        <v>10.5</v>
      </c>
      <c r="C8">
        <f>MIN(13,MAX(6,B8+E8))</f>
        <v/>
      </c>
      <c r="D8">
        <f>IFERROR(IF('TEST RESULTS'!C8="",0,IF('TEST RESULTS'!C8&gt;=90,10,IF('TEST RESULTS'!C8&gt;=80,8,IF('TEST RESULTS'!C8&gt;=70,6,IF('TEST RESULTS'!C8&gt;=60,5,IF('TEST RESULTS'!C8&gt;=50,3,IF('TEST RESULTS'!C8&gt;=40,2,1))))))),0)</f>
        <v/>
      </c>
      <c r="E8">
        <f>IF(D8=10,2,IF(D8=8,1.5,IF(D8=6,1,IF(D8=5,0,IF(D8=3,-1,IF(D8=2,-1.5,IF(D8=1,-2,0)))))))</f>
        <v/>
      </c>
      <c r="K8" t="inlineStr">
        <is>
          <t>Daniel Liu</t>
        </is>
      </c>
      <c r="L8">
        <f>'Daniel Liu'!C10</f>
        <v/>
      </c>
      <c r="M8">
        <f>'Daniel Liu'!C11</f>
        <v/>
      </c>
      <c r="N8">
        <f>'Daniel Liu'!C12</f>
        <v/>
      </c>
      <c r="O8">
        <f>'Daniel Liu'!C13</f>
        <v/>
      </c>
      <c r="P8">
        <f>'Daniel Liu'!C14</f>
        <v/>
      </c>
      <c r="Q8">
        <f>'Daniel Liu'!C5</f>
        <v/>
      </c>
      <c r="R8">
        <f>'Daniel Liu'!C17</f>
        <v/>
      </c>
      <c r="S8">
        <f>'Daniel Liu'!C18</f>
        <v/>
      </c>
      <c r="T8">
        <f>'Daniel Liu'!C19</f>
        <v/>
      </c>
      <c r="U8">
        <f>'Daniel Liu'!C20</f>
        <v/>
      </c>
    </row>
    <row r="9">
      <c r="A9" t="inlineStr">
        <is>
          <t>Azlan Husain</t>
        </is>
      </c>
      <c r="B9" t="n">
        <v>10</v>
      </c>
      <c r="C9">
        <f>MIN(13,MAX(6,B9+E9))</f>
        <v/>
      </c>
      <c r="D9">
        <f>IFERROR(IF('TEST RESULTS'!C9="",0,IF('TEST RESULTS'!C9&gt;=90,10,IF('TEST RESULTS'!C9&gt;=80,8,IF('TEST RESULTS'!C9&gt;=70,6,IF('TEST RESULTS'!C9&gt;=60,5,IF('TEST RESULTS'!C9&gt;=50,3,IF('TEST RESULTS'!C9&gt;=40,2,1))))))),0)</f>
        <v/>
      </c>
      <c r="E9">
        <f>IF(D9=10,2,IF(D9=8,1.5,IF(D9=6,1,IF(D9=5,0,IF(D9=3,-1,IF(D9=2,-1.5,IF(D9=1,-2,0)))))))</f>
        <v/>
      </c>
      <c r="K9" t="inlineStr">
        <is>
          <t>David Wu</t>
        </is>
      </c>
      <c r="L9">
        <f>'David Wu'!C10</f>
        <v/>
      </c>
      <c r="M9">
        <f>'David Wu'!C11</f>
        <v/>
      </c>
      <c r="N9">
        <f>'David Wu'!C12</f>
        <v/>
      </c>
      <c r="O9">
        <f>'David Wu'!C13</f>
        <v/>
      </c>
      <c r="P9">
        <f>'David Wu'!C14</f>
        <v/>
      </c>
      <c r="Q9">
        <f>'David Wu'!C5</f>
        <v/>
      </c>
      <c r="R9">
        <f>'David Wu'!C17</f>
        <v/>
      </c>
      <c r="S9">
        <f>'David Wu'!C18</f>
        <v/>
      </c>
      <c r="T9">
        <f>'David Wu'!C19</f>
        <v/>
      </c>
      <c r="U9">
        <f>'David Wu'!C20</f>
        <v/>
      </c>
    </row>
    <row r="10">
      <c r="A10" t="inlineStr">
        <is>
          <t>Nina De Saram</t>
        </is>
      </c>
      <c r="B10" t="n">
        <v>10</v>
      </c>
      <c r="C10">
        <f>MIN(13,MAX(6,B10+E10))</f>
        <v/>
      </c>
      <c r="D10">
        <f>IFERROR(IF('TEST RESULTS'!C10="",0,IF('TEST RESULTS'!C10&gt;=90,10,IF('TEST RESULTS'!C10&gt;=80,8,IF('TEST RESULTS'!C10&gt;=70,6,IF('TEST RESULTS'!C10&gt;=60,5,IF('TEST RESULTS'!C10&gt;=50,3,IF('TEST RESULTS'!C10&gt;=40,2,1))))))),0)</f>
        <v/>
      </c>
      <c r="E10">
        <f>IF(D10=10,2,IF(D10=8,1.5,IF(D10=6,1,IF(D10=5,0,IF(D10=3,-1,IF(D10=2,-1.5,IF(D10=1,-2,0)))))))</f>
        <v/>
      </c>
      <c r="K10" t="inlineStr">
        <is>
          <t>Edwin Mayers</t>
        </is>
      </c>
      <c r="L10">
        <f>'Edwin Mayers'!C10</f>
        <v/>
      </c>
      <c r="M10">
        <f>'Edwin Mayers'!C11</f>
        <v/>
      </c>
      <c r="N10">
        <f>'Edwin Mayers'!C12</f>
        <v/>
      </c>
      <c r="O10">
        <f>'Edwin Mayers'!C13</f>
        <v/>
      </c>
      <c r="P10">
        <f>'Edwin Mayers'!C14</f>
        <v/>
      </c>
      <c r="Q10">
        <f>'Edwin Mayers'!C5</f>
        <v/>
      </c>
      <c r="R10">
        <f>'Edwin Mayers'!C17</f>
        <v/>
      </c>
      <c r="S10">
        <f>'Edwin Mayers'!C18</f>
        <v/>
      </c>
      <c r="T10">
        <f>'Edwin Mayers'!C19</f>
        <v/>
      </c>
      <c r="U10">
        <f>'Edwin Mayers'!C20</f>
        <v/>
      </c>
    </row>
    <row r="11">
      <c r="A11" t="inlineStr">
        <is>
          <t>Alexa Amesimeku</t>
        </is>
      </c>
      <c r="B11" t="n">
        <v>9.5</v>
      </c>
      <c r="C11">
        <f>MIN(13,MAX(6,B11+E11))</f>
        <v/>
      </c>
      <c r="D11">
        <f>IFERROR(IF('TEST RESULTS'!C11="",0,IF('TEST RESULTS'!C11&gt;=90,10,IF('TEST RESULTS'!C11&gt;=80,8,IF('TEST RESULTS'!C11&gt;=70,6,IF('TEST RESULTS'!C11&gt;=60,5,IF('TEST RESULTS'!C11&gt;=50,3,IF('TEST RESULTS'!C11&gt;=40,2,1))))))),0)</f>
        <v/>
      </c>
      <c r="E11">
        <f>IF(D11=10,2,IF(D11=8,1.5,IF(D11=6,1,IF(D11=5,0,IF(D11=3,-1,IF(D11=2,-1.5,IF(D11=1,-2,0)))))))</f>
        <v/>
      </c>
      <c r="K11" t="inlineStr">
        <is>
          <t>Emily Warburton</t>
        </is>
      </c>
      <c r="L11">
        <f>'Emily Warburton'!C10</f>
        <v/>
      </c>
      <c r="M11">
        <f>'Emily Warburton'!C11</f>
        <v/>
      </c>
      <c r="N11">
        <f>'Emily Warburton'!C12</f>
        <v/>
      </c>
      <c r="O11">
        <f>'Emily Warburton'!C13</f>
        <v/>
      </c>
      <c r="P11">
        <f>'Emily Warburton'!C14</f>
        <v/>
      </c>
      <c r="Q11">
        <f>'Emily Warburton'!C5</f>
        <v/>
      </c>
      <c r="R11">
        <f>'Emily Warburton'!C17</f>
        <v/>
      </c>
      <c r="S11">
        <f>'Emily Warburton'!C18</f>
        <v/>
      </c>
      <c r="T11">
        <f>'Emily Warburton'!C19</f>
        <v/>
      </c>
      <c r="U11">
        <f>'Emily Warburton'!C20</f>
        <v/>
      </c>
    </row>
    <row r="12">
      <c r="A12" t="inlineStr">
        <is>
          <t>Daniel Liu</t>
        </is>
      </c>
      <c r="B12" t="n">
        <v>9.5</v>
      </c>
      <c r="C12">
        <f>MIN(13,MAX(6,B12+E12))</f>
        <v/>
      </c>
      <c r="D12">
        <f>IFERROR(IF('TEST RESULTS'!C12="",0,IF('TEST RESULTS'!C12&gt;=90,10,IF('TEST RESULTS'!C12&gt;=80,8,IF('TEST RESULTS'!C12&gt;=70,6,IF('TEST RESULTS'!C12&gt;=60,5,IF('TEST RESULTS'!C12&gt;=50,3,IF('TEST RESULTS'!C12&gt;=40,2,1))))))),0)</f>
        <v/>
      </c>
      <c r="E12">
        <f>IF(D12=10,2,IF(D12=8,1.5,IF(D12=6,1,IF(D12=5,0,IF(D12=3,-1,IF(D12=2,-1.5,IF(D12=1,-2,0)))))))</f>
        <v/>
      </c>
      <c r="K12" t="inlineStr">
        <is>
          <t>Esme Beston</t>
        </is>
      </c>
      <c r="L12">
        <f>'Esme Beston'!C10</f>
        <v/>
      </c>
      <c r="M12">
        <f>'Esme Beston'!C11</f>
        <v/>
      </c>
      <c r="N12">
        <f>'Esme Beston'!C12</f>
        <v/>
      </c>
      <c r="O12">
        <f>'Esme Beston'!C13</f>
        <v/>
      </c>
      <c r="P12">
        <f>'Esme Beston'!C14</f>
        <v/>
      </c>
      <c r="Q12">
        <f>'Esme Beston'!C5</f>
        <v/>
      </c>
      <c r="R12">
        <f>'Esme Beston'!C17</f>
        <v/>
      </c>
      <c r="S12">
        <f>'Esme Beston'!C18</f>
        <v/>
      </c>
      <c r="T12">
        <f>'Esme Beston'!C19</f>
        <v/>
      </c>
      <c r="U12">
        <f>'Esme Beston'!C20</f>
        <v/>
      </c>
    </row>
    <row r="13">
      <c r="A13" t="inlineStr">
        <is>
          <t>Rebecca Seymour</t>
        </is>
      </c>
      <c r="B13" t="n">
        <v>9.5</v>
      </c>
      <c r="C13">
        <f>MIN(13,MAX(6,B13+E13))</f>
        <v/>
      </c>
      <c r="D13">
        <f>IFERROR(IF('TEST RESULTS'!C13="",0,IF('TEST RESULTS'!C13&gt;=90,10,IF('TEST RESULTS'!C13&gt;=80,8,IF('TEST RESULTS'!C13&gt;=70,6,IF('TEST RESULTS'!C13&gt;=60,5,IF('TEST RESULTS'!C13&gt;=50,3,IF('TEST RESULTS'!C13&gt;=40,2,1))))))),0)</f>
        <v/>
      </c>
      <c r="E13">
        <f>IF(D13=10,2,IF(D13=8,1.5,IF(D13=6,1,IF(D13=5,0,IF(D13=3,-1,IF(D13=2,-1.5,IF(D13=1,-2,0)))))))</f>
        <v/>
      </c>
      <c r="K13" t="inlineStr">
        <is>
          <t>Iona Smith</t>
        </is>
      </c>
      <c r="L13">
        <f>'Iona Smith'!C10</f>
        <v/>
      </c>
      <c r="M13">
        <f>'Iona Smith'!C11</f>
        <v/>
      </c>
      <c r="N13">
        <f>'Iona Smith'!C12</f>
        <v/>
      </c>
      <c r="O13">
        <f>'Iona Smith'!C13</f>
        <v/>
      </c>
      <c r="P13">
        <f>'Iona Smith'!C14</f>
        <v/>
      </c>
      <c r="Q13">
        <f>'Iona Smith'!C5</f>
        <v/>
      </c>
      <c r="R13">
        <f>'Iona Smith'!C17</f>
        <v/>
      </c>
      <c r="S13">
        <f>'Iona Smith'!C18</f>
        <v/>
      </c>
      <c r="T13">
        <f>'Iona Smith'!C19</f>
        <v/>
      </c>
      <c r="U13">
        <f>'Iona Smith'!C20</f>
        <v/>
      </c>
    </row>
    <row r="14">
      <c r="A14" t="inlineStr">
        <is>
          <t>Edwin Mayers</t>
        </is>
      </c>
      <c r="B14" t="n">
        <v>9</v>
      </c>
      <c r="C14">
        <f>MIN(13,MAX(6,B14+E14))</f>
        <v/>
      </c>
      <c r="D14">
        <f>IFERROR(IF('TEST RESULTS'!C14="",0,IF('TEST RESULTS'!C14&gt;=90,10,IF('TEST RESULTS'!C14&gt;=80,8,IF('TEST RESULTS'!C14&gt;=70,6,IF('TEST RESULTS'!C14&gt;=60,5,IF('TEST RESULTS'!C14&gt;=50,3,IF('TEST RESULTS'!C14&gt;=40,2,1))))))),0)</f>
        <v/>
      </c>
      <c r="E14">
        <f>IF(D14=10,2,IF(D14=8,1.5,IF(D14=6,1,IF(D14=5,0,IF(D14=3,-1,IF(D14=2,-1.5,IF(D14=1,-2,0)))))))</f>
        <v/>
      </c>
      <c r="K14" t="inlineStr">
        <is>
          <t>Joe Paige</t>
        </is>
      </c>
      <c r="L14">
        <f>'Joe Paige'!C10</f>
        <v/>
      </c>
      <c r="M14">
        <f>'Joe Paige'!C11</f>
        <v/>
      </c>
      <c r="N14">
        <f>'Joe Paige'!C12</f>
        <v/>
      </c>
      <c r="O14">
        <f>'Joe Paige'!C13</f>
        <v/>
      </c>
      <c r="P14">
        <f>'Joe Paige'!C14</f>
        <v/>
      </c>
      <c r="Q14">
        <f>'Joe Paige'!C5</f>
        <v/>
      </c>
      <c r="R14">
        <f>'Joe Paige'!C17</f>
        <v/>
      </c>
      <c r="S14">
        <f>'Joe Paige'!C18</f>
        <v/>
      </c>
      <c r="T14">
        <f>'Joe Paige'!C19</f>
        <v/>
      </c>
      <c r="U14">
        <f>'Joe Paige'!C20</f>
        <v/>
      </c>
    </row>
    <row r="15">
      <c r="A15" t="inlineStr">
        <is>
          <t>Melody Zhaeentan</t>
        </is>
      </c>
      <c r="B15" t="n">
        <v>8.5</v>
      </c>
      <c r="C15">
        <f>MIN(13,MAX(6,B15+E15))</f>
        <v/>
      </c>
      <c r="D15">
        <f>IFERROR(IF('TEST RESULTS'!C15="",0,IF('TEST RESULTS'!C15&gt;=90,10,IF('TEST RESULTS'!C15&gt;=80,8,IF('TEST RESULTS'!C15&gt;=70,6,IF('TEST RESULTS'!C15&gt;=60,5,IF('TEST RESULTS'!C15&gt;=50,3,IF('TEST RESULTS'!C15&gt;=40,2,1))))))),0)</f>
        <v/>
      </c>
      <c r="E15">
        <f>IF(D15=10,2,IF(D15=8,1.5,IF(D15=6,1,IF(D15=5,0,IF(D15=3,-1,IF(D15=2,-1.5,IF(D15=1,-2,0)))))))</f>
        <v/>
      </c>
      <c r="K15" t="inlineStr">
        <is>
          <t>Lia Li</t>
        </is>
      </c>
      <c r="L15">
        <f>'Lia Li'!C10</f>
        <v/>
      </c>
      <c r="M15">
        <f>'Lia Li'!C11</f>
        <v/>
      </c>
      <c r="N15">
        <f>'Lia Li'!C12</f>
        <v/>
      </c>
      <c r="O15">
        <f>'Lia Li'!C13</f>
        <v/>
      </c>
      <c r="P15">
        <f>'Lia Li'!C14</f>
        <v/>
      </c>
      <c r="Q15">
        <f>'Lia Li'!C5</f>
        <v/>
      </c>
      <c r="R15">
        <f>'Lia Li'!C17</f>
        <v/>
      </c>
      <c r="S15">
        <f>'Lia Li'!C18</f>
        <v/>
      </c>
      <c r="T15">
        <f>'Lia Li'!C19</f>
        <v/>
      </c>
      <c r="U15">
        <f>'Lia Li'!C20</f>
        <v/>
      </c>
    </row>
    <row r="16">
      <c r="A16" t="inlineStr">
        <is>
          <t>Esme Beston</t>
        </is>
      </c>
      <c r="B16" t="n">
        <v>8</v>
      </c>
      <c r="C16">
        <f>MIN(13,MAX(6,B16+E16))</f>
        <v/>
      </c>
      <c r="D16">
        <f>IFERROR(IF('TEST RESULTS'!C16="",0,IF('TEST RESULTS'!C16&gt;=90,10,IF('TEST RESULTS'!C16&gt;=80,8,IF('TEST RESULTS'!C16&gt;=70,6,IF('TEST RESULTS'!C16&gt;=60,5,IF('TEST RESULTS'!C16&gt;=50,3,IF('TEST RESULTS'!C16&gt;=40,2,1))))))),0)</f>
        <v/>
      </c>
      <c r="E16">
        <f>IF(D16=10,2,IF(D16=8,1.5,IF(D16=6,1,IF(D16=5,0,IF(D16=3,-1,IF(D16=2,-1.5,IF(D16=1,-2,0)))))))</f>
        <v/>
      </c>
      <c r="K16" t="inlineStr">
        <is>
          <t>Melody Zhaeentan</t>
        </is>
      </c>
      <c r="L16">
        <f>'Melody Zhaeentan'!C10</f>
        <v/>
      </c>
      <c r="M16">
        <f>'Melody Zhaeentan'!C11</f>
        <v/>
      </c>
      <c r="N16">
        <f>'Melody Zhaeentan'!C12</f>
        <v/>
      </c>
      <c r="O16">
        <f>'Melody Zhaeentan'!C13</f>
        <v/>
      </c>
      <c r="P16">
        <f>'Melody Zhaeentan'!C14</f>
        <v/>
      </c>
      <c r="Q16">
        <f>'Melody Zhaeentan'!C5</f>
        <v/>
      </c>
      <c r="R16">
        <f>'Melody Zhaeentan'!C17</f>
        <v/>
      </c>
      <c r="S16">
        <f>'Melody Zhaeentan'!C18</f>
        <v/>
      </c>
      <c r="T16">
        <f>'Melody Zhaeentan'!C19</f>
        <v/>
      </c>
      <c r="U16">
        <f>'Melody Zhaeentan'!C20</f>
        <v/>
      </c>
    </row>
    <row r="17">
      <c r="A17" t="inlineStr">
        <is>
          <t>Iona Smith</t>
        </is>
      </c>
      <c r="B17" t="n">
        <v>8</v>
      </c>
      <c r="C17">
        <f>MIN(13,MAX(6,B17+E17))</f>
        <v/>
      </c>
      <c r="D17">
        <f>IFERROR(IF('TEST RESULTS'!C17="",0,IF('TEST RESULTS'!C17&gt;=90,10,IF('TEST RESULTS'!C17&gt;=80,8,IF('TEST RESULTS'!C17&gt;=70,6,IF('TEST RESULTS'!C17&gt;=60,5,IF('TEST RESULTS'!C17&gt;=50,3,IF('TEST RESULTS'!C17&gt;=40,2,1))))))),0)</f>
        <v/>
      </c>
      <c r="E17">
        <f>IF(D17=10,2,IF(D17=8,1.5,IF(D17=6,1,IF(D17=5,0,IF(D17=3,-1,IF(D17=2,-1.5,IF(D17=1,-2,0)))))))</f>
        <v/>
      </c>
      <c r="K17" t="inlineStr">
        <is>
          <t>Nina De Saram</t>
        </is>
      </c>
      <c r="L17">
        <f>'Nina De Saram'!C10</f>
        <v/>
      </c>
      <c r="M17">
        <f>'Nina De Saram'!C11</f>
        <v/>
      </c>
      <c r="N17">
        <f>'Nina De Saram'!C12</f>
        <v/>
      </c>
      <c r="O17">
        <f>'Nina De Saram'!C13</f>
        <v/>
      </c>
      <c r="P17">
        <f>'Nina De Saram'!C14</f>
        <v/>
      </c>
      <c r="Q17">
        <f>'Nina De Saram'!C5</f>
        <v/>
      </c>
      <c r="R17">
        <f>'Nina De Saram'!C17</f>
        <v/>
      </c>
      <c r="S17">
        <f>'Nina De Saram'!C18</f>
        <v/>
      </c>
      <c r="T17">
        <f>'Nina De Saram'!C19</f>
        <v/>
      </c>
      <c r="U17">
        <f>'Nina De Saram'!C20</f>
        <v/>
      </c>
    </row>
    <row r="18">
      <c r="A18" t="inlineStr">
        <is>
          <t>Oscar Day-Duran</t>
        </is>
      </c>
      <c r="B18" t="n">
        <v>8</v>
      </c>
      <c r="C18">
        <f>MIN(13,MAX(6,B18+E18))</f>
        <v/>
      </c>
      <c r="D18">
        <f>IFERROR(IF('TEST RESULTS'!C18="",0,IF('TEST RESULTS'!C18&gt;=90,10,IF('TEST RESULTS'!C18&gt;=80,8,IF('TEST RESULTS'!C18&gt;=70,6,IF('TEST RESULTS'!C18&gt;=60,5,IF('TEST RESULTS'!C18&gt;=50,3,IF('TEST RESULTS'!C18&gt;=40,2,1))))))),0)</f>
        <v/>
      </c>
      <c r="E18">
        <f>IF(D18=10,2,IF(D18=8,1.5,IF(D18=6,1,IF(D18=5,0,IF(D18=3,-1,IF(D18=2,-1.5,IF(D18=1,-2,0)))))))</f>
        <v/>
      </c>
      <c r="K18" t="inlineStr">
        <is>
          <t>Oscar Day-Duran</t>
        </is>
      </c>
      <c r="L18">
        <f>'Oscar Day-Duran'!C10</f>
        <v/>
      </c>
      <c r="M18">
        <f>'Oscar Day-Duran'!C11</f>
        <v/>
      </c>
      <c r="N18">
        <f>'Oscar Day-Duran'!C12</f>
        <v/>
      </c>
      <c r="O18">
        <f>'Oscar Day-Duran'!C13</f>
        <v/>
      </c>
      <c r="P18">
        <f>'Oscar Day-Duran'!C14</f>
        <v/>
      </c>
      <c r="Q18">
        <f>'Oscar Day-Duran'!C5</f>
        <v/>
      </c>
      <c r="R18">
        <f>'Oscar Day-Duran'!C17</f>
        <v/>
      </c>
      <c r="S18">
        <f>'Oscar Day-Duran'!C18</f>
        <v/>
      </c>
      <c r="T18">
        <f>'Oscar Day-Duran'!C19</f>
        <v/>
      </c>
      <c r="U18">
        <f>'Oscar Day-Duran'!C20</f>
        <v/>
      </c>
    </row>
    <row r="19">
      <c r="A19" t="inlineStr">
        <is>
          <t>Alfie Foley</t>
        </is>
      </c>
      <c r="B19" t="n">
        <v>7.5</v>
      </c>
      <c r="C19">
        <f>MIN(13,MAX(6,B19+E19))</f>
        <v/>
      </c>
      <c r="D19">
        <f>IFERROR(IF('TEST RESULTS'!C19="",0,IF('TEST RESULTS'!C19&gt;=90,10,IF('TEST RESULTS'!C19&gt;=80,8,IF('TEST RESULTS'!C19&gt;=70,6,IF('TEST RESULTS'!C19&gt;=60,5,IF('TEST RESULTS'!C19&gt;=50,3,IF('TEST RESULTS'!C19&gt;=40,2,1))))))),0)</f>
        <v/>
      </c>
      <c r="E19">
        <f>IF(D19=10,2,IF(D19=8,1.5,IF(D19=6,1,IF(D19=5,0,IF(D19=3,-1,IF(D19=2,-1.5,IF(D19=1,-2,0)))))))</f>
        <v/>
      </c>
      <c r="K19" t="inlineStr">
        <is>
          <t>Rebecca Seymour</t>
        </is>
      </c>
      <c r="L19">
        <f>'Rebecca Seymour'!C10</f>
        <v/>
      </c>
      <c r="M19">
        <f>'Rebecca Seymour'!C11</f>
        <v/>
      </c>
      <c r="N19">
        <f>'Rebecca Seymour'!C12</f>
        <v/>
      </c>
      <c r="O19">
        <f>'Rebecca Seymour'!C13</f>
        <v/>
      </c>
      <c r="P19">
        <f>'Rebecca Seymour'!C14</f>
        <v/>
      </c>
      <c r="Q19">
        <f>'Rebecca Seymour'!C5</f>
        <v/>
      </c>
      <c r="R19">
        <f>'Rebecca Seymour'!C17</f>
        <v/>
      </c>
      <c r="S19">
        <f>'Rebecca Seymour'!C18</f>
        <v/>
      </c>
      <c r="T19">
        <f>'Rebecca Seymour'!C19</f>
        <v/>
      </c>
      <c r="U19">
        <f>'Rebecca Seymour'!C20</f>
        <v/>
      </c>
    </row>
    <row r="20">
      <c r="A20" t="inlineStr">
        <is>
          <t>Ava Swinfen</t>
        </is>
      </c>
      <c r="B20" t="n">
        <v>7</v>
      </c>
      <c r="C20">
        <f>MIN(13,MAX(6,B20+E20))</f>
        <v/>
      </c>
      <c r="D20">
        <f>IFERROR(IF('TEST RESULTS'!C20="",0,IF('TEST RESULTS'!C20&gt;=90,10,IF('TEST RESULTS'!C20&gt;=80,8,IF('TEST RESULTS'!C20&gt;=70,6,IF('TEST RESULTS'!C20&gt;=60,5,IF('TEST RESULTS'!C20&gt;=50,3,IF('TEST RESULTS'!C20&gt;=40,2,1))))))),0)</f>
        <v/>
      </c>
      <c r="E20">
        <f>IF(D20=10,2,IF(D20=8,1.5,IF(D20=6,1,IF(D20=5,0,IF(D20=3,-1,IF(D20=2,-1.5,IF(D20=1,-2,0)))))))</f>
        <v/>
      </c>
      <c r="K20" t="inlineStr">
        <is>
          <t>Rory Bowman</t>
        </is>
      </c>
      <c r="L20">
        <f>'Rory Bowman'!C10</f>
        <v/>
      </c>
      <c r="M20">
        <f>'Rory Bowman'!C11</f>
        <v/>
      </c>
      <c r="N20">
        <f>'Rory Bowman'!C12</f>
        <v/>
      </c>
      <c r="O20">
        <f>'Rory Bowman'!C13</f>
        <v/>
      </c>
      <c r="P20">
        <f>'Rory Bowman'!C14</f>
        <v/>
      </c>
      <c r="Q20">
        <f>'Rory Bowman'!C5</f>
        <v/>
      </c>
      <c r="R20">
        <f>'Rory Bowman'!C17</f>
        <v/>
      </c>
      <c r="S20">
        <f>'Rory Bowman'!C18</f>
        <v/>
      </c>
      <c r="T20">
        <f>'Rory Bowman'!C19</f>
        <v/>
      </c>
      <c r="U20">
        <f>'Rory Bowman'!C20</f>
        <v/>
      </c>
    </row>
    <row r="21">
      <c r="A21" t="inlineStr">
        <is>
          <t>Rory Bowman</t>
        </is>
      </c>
      <c r="B21" t="n">
        <v>7</v>
      </c>
      <c r="C21">
        <f>MIN(13,MAX(6,B21+E21))</f>
        <v/>
      </c>
      <c r="D21">
        <f>IFERROR(IF('TEST RESULTS'!C21="",0,IF('TEST RESULTS'!C21&gt;=90,10,IF('TEST RESULTS'!C21&gt;=80,8,IF('TEST RESULTS'!C21&gt;=70,6,IF('TEST RESULTS'!C21&gt;=60,5,IF('TEST RESULTS'!C21&gt;=50,3,IF('TEST RESULTS'!C21&gt;=40,2,1))))))),0)</f>
        <v/>
      </c>
      <c r="E21">
        <f>IF(D21=10,2,IF(D21=8,1.5,IF(D21=6,1,IF(D21=5,0,IF(D21=3,-1,IF(D21=2,-1.5,IF(D21=1,-2,0)))))))</f>
        <v/>
      </c>
      <c r="K21" t="inlineStr">
        <is>
          <t>Sophie Barker</t>
        </is>
      </c>
      <c r="L21">
        <f>'Sophie Barker'!C10</f>
        <v/>
      </c>
      <c r="M21">
        <f>'Sophie Barker'!C11</f>
        <v/>
      </c>
      <c r="N21">
        <f>'Sophie Barker'!C12</f>
        <v/>
      </c>
      <c r="O21">
        <f>'Sophie Barker'!C13</f>
        <v/>
      </c>
      <c r="P21">
        <f>'Sophie Barker'!C14</f>
        <v/>
      </c>
      <c r="Q21">
        <f>'Sophie Barker'!C5</f>
        <v/>
      </c>
      <c r="R21">
        <f>'Sophie Barker'!C17</f>
        <v/>
      </c>
      <c r="S21">
        <f>'Sophie Barker'!C18</f>
        <v/>
      </c>
      <c r="T21">
        <f>'Sophie Barker'!C19</f>
        <v/>
      </c>
      <c r="U21">
        <f>'Sophie Barker'!C20</f>
        <v/>
      </c>
    </row>
    <row r="22">
      <c r="A22" t="inlineStr">
        <is>
          <t>Xander Meijer</t>
        </is>
      </c>
      <c r="B22" t="n">
        <v>7</v>
      </c>
      <c r="C22">
        <f>MIN(13,MAX(6,B22+E22))</f>
        <v/>
      </c>
      <c r="D22">
        <f>IFERROR(IF('TEST RESULTS'!C22="",0,IF('TEST RESULTS'!C22&gt;=90,10,IF('TEST RESULTS'!C22&gt;=80,8,IF('TEST RESULTS'!C22&gt;=70,6,IF('TEST RESULTS'!C22&gt;=60,5,IF('TEST RESULTS'!C22&gt;=50,3,IF('TEST RESULTS'!C22&gt;=40,2,1))))))),0)</f>
        <v/>
      </c>
      <c r="E22">
        <f>IF(D22=10,2,IF(D22=8,1.5,IF(D22=6,1,IF(D22=5,0,IF(D22=3,-1,IF(D22=2,-1.5,IF(D22=1,-2,0)))))))</f>
        <v/>
      </c>
      <c r="K22" t="inlineStr">
        <is>
          <t>Xander Meijer</t>
        </is>
      </c>
      <c r="L22">
        <f>'Xander Meijer'!C10</f>
        <v/>
      </c>
      <c r="M22">
        <f>'Xander Meijer'!C11</f>
        <v/>
      </c>
      <c r="N22">
        <f>'Xander Meijer'!C12</f>
        <v/>
      </c>
      <c r="O22">
        <f>'Xander Meijer'!C13</f>
        <v/>
      </c>
      <c r="P22">
        <f>'Xander Meijer'!C14</f>
        <v/>
      </c>
      <c r="Q22">
        <f>'Xander Meijer'!C5</f>
        <v/>
      </c>
      <c r="R22">
        <f>'Xander Meijer'!C17</f>
        <v/>
      </c>
      <c r="S22">
        <f>'Xander Meijer'!C18</f>
        <v/>
      </c>
      <c r="T22">
        <f>'Xander Meijer'!C19</f>
        <v/>
      </c>
      <c r="U22">
        <f>'Xander Meijer'!C20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2026-09-25T15:48:43Z</dcterms:created>
  <dcterms:modified xsi:type="dcterms:W3CDTF">2026-09-25T15:48:43Z</dcterms:modified>
</cp:coreProperties>
</file>
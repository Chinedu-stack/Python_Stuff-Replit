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7" activeTab="7" autoFilterDateGrouping="1"/>
  </bookViews>
  <sheets>
    <sheet name="HOME" sheetId="1" state="visible" r:id="rId1"/>
    <sheet name="RULES" sheetId="2" state="visible" r:id="rId2"/>
    <sheet name="PICK YOUR TEAM" sheetId="3" state="visible" r:id="rId3"/>
    <sheet name="PLAYER MARKET" sheetId="4" state="visible" r:id="rId4"/>
    <sheet name="TEST RESULTS" sheetId="5" state="visible" r:id="rId5"/>
    <sheet name=" Overall Leaderboard" sheetId="6" state="visible" r:id="rId6"/>
    <sheet name="GW Leaderboard" sheetId="7" state="visible" r:id="rId7"/>
    <sheet name="SETTINGS" sheetId="8" state="visible" r:id="rId8"/>
    <sheet name="MASTER DATA" sheetId="9" state="hidden" r:id="rId9"/>
    <sheet name="RAW RESULTS" sheetId="10" state="hidden" r:id="rId10"/>
    <sheet name="CALCULATIONS" sheetId="11" state="hidden" r:id="rId11"/>
    <sheet name="Alexa Amesimeku" sheetId="12" state="visible" r:id="rId12"/>
    <sheet name="Alfie Foley" sheetId="13" state="visible" r:id="rId13"/>
    <sheet name="Alyza Rai" sheetId="14" state="visible" r:id="rId14"/>
    <sheet name="Ava Swinfen" sheetId="15" state="visible" r:id="rId15"/>
    <sheet name="Azlan Husain" sheetId="16" state="visible" r:id="rId16"/>
    <sheet name="Chinedu Chile" sheetId="17" state="visible" r:id="rId17"/>
    <sheet name="Daniel Liu" sheetId="18" state="visible" r:id="rId18"/>
    <sheet name="David Wu" sheetId="19" state="visible" r:id="rId19"/>
    <sheet name="Edwin Mayers" sheetId="20" state="visible" r:id="rId20"/>
    <sheet name="Emily Warburton" sheetId="21" state="visible" r:id="rId21"/>
    <sheet name="Esme Beston" sheetId="22" state="visible" r:id="rId22"/>
    <sheet name="Iona Smith" sheetId="23" state="visible" r:id="rId23"/>
    <sheet name="Joe Paige" sheetId="24" state="visible" r:id="rId24"/>
    <sheet name="Lia Li" sheetId="25" state="visible" r:id="rId25"/>
    <sheet name="Melody Zhaeentan" sheetId="26" state="visible" r:id="rId26"/>
    <sheet name="Nina De Saram" sheetId="27" state="visible" r:id="rId27"/>
    <sheet name="Oscar Day-Duran" sheetId="28" state="visible" r:id="rId28"/>
    <sheet name="Rebecca Seymour" sheetId="29" state="visible" r:id="rId29"/>
    <sheet name="Rory Bowman" sheetId="30" state="visible" r:id="rId30"/>
    <sheet name="Sophie Barker" sheetId="31" state="visible" r:id="rId31"/>
    <sheet name="Xander Meijer" sheetId="32" state="visible" r:id="rId32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£0.0&quot;m&quot;"/>
    <numFmt numFmtId="165" formatCode="&quot;▲ +£&quot;0.0&quot;m&quot;;&quot;▼ -£&quot;0.0&quot;m&quot;;&quot;— £0.0m&quot;"/>
    <numFmt numFmtId="166" formatCode="0&quot;%&quot;"/>
    <numFmt numFmtId="167" formatCode="\+\£0.0&quot;m&quot;;\-\£0.0&quot;m&quot;;\—"/>
    <numFmt numFmtId="168" formatCode="0.0&quot;%&quot;"/>
  </numFmts>
  <fonts count="26">
    <font>
      <name val="Calibri"/>
      <family val="2"/>
      <color theme="1"/>
      <sz val="11"/>
      <scheme val="minor"/>
    </font>
    <font>
      <name val="Calibri"/>
      <b val="1"/>
      <color rgb="FFFFFFFF"/>
      <sz val="22"/>
    </font>
    <font>
      <name val="Calibri"/>
      <i val="1"/>
      <color rgb="FF6B7280"/>
      <sz val="12"/>
    </font>
    <font>
      <name val="Calibri"/>
      <b val="1"/>
      <color rgb="FFFFFFFF"/>
      <sz val="13"/>
    </font>
    <font>
      <name val="Calibri"/>
      <b val="1"/>
      <color rgb="FFFFFFFF"/>
      <sz val="12"/>
    </font>
    <font>
      <name val="Calibri"/>
      <b val="1"/>
      <color rgb="FF172033"/>
      <sz val="12"/>
    </font>
    <font>
      <name val="Calibri"/>
      <b val="1"/>
      <color rgb="FF0B1F3A"/>
      <sz val="12"/>
    </font>
    <font>
      <name val="Calibri"/>
      <i val="1"/>
      <color rgb="FF6B7280"/>
      <sz val="11"/>
    </font>
    <font>
      <name val="Calibri"/>
      <color rgb="FF172033"/>
      <sz val="12"/>
    </font>
    <font>
      <name val="Calibri"/>
      <color rgb="FF6B7280"/>
      <sz val="12"/>
    </font>
    <font>
      <name val="Calibri"/>
      <b val="1"/>
      <color rgb="FF1565C0"/>
      <sz val="16"/>
    </font>
    <font>
      <name val="Calibri"/>
      <b val="1"/>
      <color rgb="FF172033"/>
      <sz val="13"/>
    </font>
    <font>
      <name val="Calibri"/>
      <b val="1"/>
      <color rgb="FF6B7280"/>
      <sz val="12"/>
    </font>
    <font>
      <name val="Calibri"/>
      <b val="1"/>
      <color rgb="FF0B1F3A"/>
      <sz val="14"/>
    </font>
    <font>
      <name val="Calibri"/>
      <b val="1"/>
      <color rgb="FF1565C0"/>
      <sz val="12"/>
      <u val="single"/>
    </font>
    <font>
      <name val="Calibri"/>
      <b val="1"/>
      <color rgb="FF1565C0"/>
      <sz val="12"/>
    </font>
    <font>
      <name val="Calibri"/>
      <b val="1"/>
      <color rgb="FF0B1F3A"/>
      <sz val="13"/>
    </font>
    <font>
      <name val="Calibri"/>
      <b val="1"/>
      <color rgb="FF92400E"/>
      <sz val="14"/>
    </font>
    <font>
      <b val="1"/>
      <color rgb="00172033"/>
      <sz val="12"/>
    </font>
    <font>
      <b val="1"/>
      <color rgb="000B1F3A"/>
      <sz val="12"/>
    </font>
    <font>
      <i val="1"/>
      <color rgb="006B7280"/>
      <sz val="11"/>
    </font>
    <font/>
    <font>
      <b val="1"/>
      <color rgb="00FFFFFF"/>
      <sz val="22"/>
    </font>
    <font>
      <b val="1"/>
      <color rgb="001565C0"/>
      <sz val="12"/>
    </font>
    <font>
      <b val="1"/>
      <color rgb="00FFFFFF"/>
      <sz val="12"/>
    </font>
    <font>
      <color rgb="00172033"/>
      <sz val="12"/>
    </font>
  </fonts>
  <fills count="14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EF3C7"/>
      </patternFill>
    </fill>
    <fill>
      <patternFill patternType="solid">
        <fgColor rgb="FFF5F9FF"/>
      </patternFill>
    </fill>
    <fill>
      <patternFill patternType="solid">
        <fgColor rgb="FF0B1F3A"/>
      </patternFill>
    </fill>
    <fill>
      <patternFill patternType="solid">
        <fgColor rgb="FF1565C0"/>
      </patternFill>
    </fill>
    <fill>
      <patternFill patternType="solid">
        <fgColor rgb="FFFFFFFF"/>
      </patternFill>
    </fill>
    <fill>
      <patternFill patternType="solid">
        <fgColor rgb="00EAF2FF"/>
      </patternFill>
    </fill>
    <fill>
      <patternFill patternType="solid">
        <fgColor rgb="00FEF3C7"/>
      </patternFill>
    </fill>
    <fill>
      <patternFill patternType="solid">
        <fgColor rgb="00F5F9FF"/>
      </patternFill>
    </fill>
    <fill>
      <patternFill patternType="solid">
        <fgColor rgb="000B1F3A"/>
      </patternFill>
    </fill>
    <fill>
      <patternFill patternType="solid">
        <fgColor rgb="00475569"/>
      </patternFill>
    </fill>
    <fill>
      <patternFill patternType="solid">
        <fgColor rgb="00FFFFFF"/>
      </patternFill>
    </fill>
  </fills>
  <borders count="15">
    <border>
      <left/>
      <right/>
      <top/>
      <bottom/>
      <diagonal/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/>
      <bottom/>
      <diagonal/>
    </border>
    <border>
      <left/>
      <right style="thin">
        <color rgb="FFE5E7EB"/>
      </right>
      <top/>
      <bottom/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/>
      <top/>
      <bottom style="thin">
        <color rgb="FFE5E7EB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/>
      <right/>
      <top/>
      <bottom style="medium">
        <color rgb="FF1565C0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/>
    <border>
      <bottom style="medium">
        <color rgb="001565C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2" fillId="0" borderId="0" applyAlignment="1" pivotButton="0" quotePrefix="0" xfId="0">
      <alignment horizontal="right" vertical="center"/>
    </xf>
    <xf numFmtId="0" fontId="13" fillId="3" borderId="11" applyAlignment="1" applyProtection="1" pivotButton="0" quotePrefix="0" xfId="0">
      <alignment horizontal="center" vertical="center"/>
      <protection locked="0" hidden="0"/>
    </xf>
    <xf numFmtId="0" fontId="8" fillId="4" borderId="11" applyAlignment="1" pivotButton="0" quotePrefix="0" xfId="0">
      <alignment horizontal="left" vertical="center"/>
    </xf>
    <xf numFmtId="0" fontId="5" fillId="2" borderId="11" applyAlignment="1" pivotButton="0" quotePrefix="0" xfId="0">
      <alignment horizontal="left" vertical="center"/>
    </xf>
    <xf numFmtId="0" fontId="8" fillId="7" borderId="11" applyAlignment="1" pivotButton="0" quotePrefix="0" xfId="0">
      <alignment horizontal="left" vertical="center" wrapText="1" indent="1"/>
    </xf>
    <xf numFmtId="0" fontId="4" fillId="5" borderId="10" applyAlignment="1" pivotButton="0" quotePrefix="0" xfId="0">
      <alignment horizontal="center" vertical="center"/>
    </xf>
    <xf numFmtId="0" fontId="15" fillId="7" borderId="11" applyAlignment="1" pivotButton="0" quotePrefix="0" xfId="0">
      <alignment horizontal="left" vertical="center" indent="1"/>
    </xf>
    <xf numFmtId="0" fontId="8" fillId="4" borderId="11" applyAlignment="1" pivotButton="0" quotePrefix="0" xfId="0">
      <alignment horizontal="center" vertical="center"/>
    </xf>
    <xf numFmtId="0" fontId="8" fillId="7" borderId="11" applyAlignment="1" pivotButton="0" quotePrefix="0" xfId="0">
      <alignment horizontal="left" vertical="center"/>
    </xf>
    <xf numFmtId="164" fontId="5" fillId="7" borderId="11" applyAlignment="1" pivotButton="0" quotePrefix="0" xfId="0">
      <alignment horizontal="center" vertical="center"/>
    </xf>
    <xf numFmtId="165" fontId="5" fillId="7" borderId="11" applyAlignment="1" pivotButton="0" quotePrefix="0" xfId="0">
      <alignment horizontal="center" vertical="center"/>
    </xf>
    <xf numFmtId="9" fontId="8" fillId="7" borderId="11" applyAlignment="1" pivotButton="0" quotePrefix="0" xfId="0">
      <alignment horizontal="center" vertical="center"/>
    </xf>
    <xf numFmtId="164" fontId="5" fillId="4" borderId="11" applyAlignment="1" pivotButton="0" quotePrefix="0" xfId="0">
      <alignment horizontal="center" vertical="center"/>
    </xf>
    <xf numFmtId="165" fontId="5" fillId="4" borderId="11" applyAlignment="1" pivotButton="0" quotePrefix="0" xfId="0">
      <alignment horizontal="center" vertical="center"/>
    </xf>
    <xf numFmtId="9" fontId="8" fillId="4" borderId="11" applyAlignment="1" pivotButton="0" quotePrefix="0" xfId="0">
      <alignment horizontal="center" vertical="center"/>
    </xf>
    <xf numFmtId="166" fontId="8" fillId="3" borderId="11" applyAlignment="1" pivotButton="0" quotePrefix="0" xfId="0">
      <alignment horizontal="center" vertical="center"/>
    </xf>
    <xf numFmtId="0" fontId="8" fillId="3" borderId="11" applyAlignment="1" pivotButton="0" quotePrefix="0" xfId="0">
      <alignment horizontal="left" vertical="center"/>
    </xf>
    <xf numFmtId="0" fontId="5" fillId="7" borderId="11" applyAlignment="1" pivotButton="0" quotePrefix="0" xfId="0">
      <alignment horizontal="center" vertical="center" wrapText="1"/>
    </xf>
    <xf numFmtId="0" fontId="5" fillId="7" borderId="11" applyAlignment="1" pivotButton="0" quotePrefix="0" xfId="0">
      <alignment horizontal="center" vertical="center"/>
    </xf>
    <xf numFmtId="0" fontId="13" fillId="3" borderId="11" applyAlignment="1" pivotButton="0" quotePrefix="0" xfId="0">
      <alignment horizontal="center" vertical="center"/>
    </xf>
    <xf numFmtId="0" fontId="6" fillId="3" borderId="11" applyAlignment="1" applyProtection="1" pivotButton="0" quotePrefix="0" xfId="0">
      <alignment horizontal="center" vertical="center"/>
      <protection locked="0" hidden="0"/>
    </xf>
    <xf numFmtId="0" fontId="7" fillId="4" borderId="11" applyAlignment="1" pivotButton="0" quotePrefix="0" xfId="0">
      <alignment horizontal="left" vertical="center"/>
    </xf>
    <xf numFmtId="164" fontId="8" fillId="7" borderId="11" applyAlignment="1" pivotButton="0" quotePrefix="0" xfId="0">
      <alignment horizontal="center" vertical="center"/>
    </xf>
    <xf numFmtId="167" fontId="9" fillId="7" borderId="11" applyAlignment="1" pivotButton="0" quotePrefix="0" xfId="0">
      <alignment horizontal="center" vertical="center"/>
    </xf>
    <xf numFmtId="164" fontId="6" fillId="3" borderId="11" applyAlignment="1" applyProtection="1" pivotButton="0" quotePrefix="0" xfId="0">
      <alignment horizontal="center" vertical="center"/>
      <protection locked="0" hidden="0"/>
    </xf>
    <xf numFmtId="164" fontId="5" fillId="2" borderId="11" applyAlignment="1" pivotButton="0" quotePrefix="0" xfId="0">
      <alignment horizontal="center" vertical="center"/>
    </xf>
    <xf numFmtId="164" fontId="8" fillId="4" borderId="11" applyAlignment="1" pivotButton="0" quotePrefix="0" xfId="0">
      <alignment horizontal="center" vertical="center"/>
    </xf>
    <xf numFmtId="167" fontId="9" fillId="4" borderId="11" applyAlignment="1" pivotButton="0" quotePrefix="0" xfId="0">
      <alignment horizontal="center" vertical="center"/>
    </xf>
    <xf numFmtId="167" fontId="8" fillId="7" borderId="11" applyAlignment="1" pivotButton="0" quotePrefix="0" xfId="0">
      <alignment horizontal="center" vertical="center"/>
    </xf>
    <xf numFmtId="167" fontId="8" fillId="4" borderId="11" applyAlignment="1" pivotButton="0" quotePrefix="0" xfId="0">
      <alignment horizontal="center" vertical="center"/>
    </xf>
    <xf numFmtId="0" fontId="5" fillId="7" borderId="11" applyAlignment="1" pivotButton="0" quotePrefix="0" xfId="0">
      <alignment horizontal="left" vertical="center"/>
    </xf>
    <xf numFmtId="0" fontId="8" fillId="7" borderId="11" applyAlignment="1" pivotButton="0" quotePrefix="0" xfId="0">
      <alignment horizontal="center" vertical="center"/>
    </xf>
    <xf numFmtId="0" fontId="16" fillId="3" borderId="11" applyAlignment="1" pivotButton="0" quotePrefix="0" xfId="0">
      <alignment horizontal="left" vertical="center" indent="1"/>
    </xf>
    <xf numFmtId="0" fontId="5" fillId="4" borderId="11" applyAlignment="1" pivotButton="0" quotePrefix="0" xfId="0">
      <alignment horizontal="center" vertical="center"/>
    </xf>
    <xf numFmtId="164" fontId="5" fillId="7" borderId="11" applyAlignment="1" pivotButton="0" quotePrefix="0" xfId="0">
      <alignment horizontal="left" vertical="center"/>
    </xf>
    <xf numFmtId="1" fontId="5" fillId="7" borderId="11" applyAlignment="1" pivotButton="0" quotePrefix="0" xfId="0">
      <alignment horizontal="left" vertical="center"/>
    </xf>
    <xf numFmtId="0" fontId="5" fillId="7" borderId="11" applyAlignment="1" pivotButton="0" quotePrefix="0" xfId="0">
      <alignment horizontal="left" vertical="center" indent="1"/>
    </xf>
    <xf numFmtId="0" fontId="1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center" vertical="center"/>
    </xf>
    <xf numFmtId="0" fontId="5" fillId="2" borderId="11" applyAlignment="1" pivotButton="0" quotePrefix="0" xfId="0">
      <alignment horizontal="left" vertical="center" indent="1"/>
    </xf>
    <xf numFmtId="0" fontId="8" fillId="0" borderId="11" applyAlignment="1" pivotButton="0" quotePrefix="0" xfId="0">
      <alignment horizontal="left" vertical="center" indent="1"/>
    </xf>
    <xf numFmtId="0" fontId="8" fillId="4" borderId="11" applyAlignment="1" pivotButton="0" quotePrefix="0" xfId="0">
      <alignment horizontal="left" vertical="center"/>
    </xf>
    <xf numFmtId="0" fontId="8" fillId="4" borderId="11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8" fillId="2" borderId="11" applyAlignment="1" pivotButton="0" quotePrefix="0" xfId="0">
      <alignment horizontal="left" vertical="center"/>
    </xf>
    <xf numFmtId="0" fontId="8" fillId="3" borderId="11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indent="1"/>
    </xf>
    <xf numFmtId="0" fontId="17" fillId="3" borderId="1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6" pivotButton="0" quotePrefix="0" xfId="0"/>
    <xf numFmtId="164" fontId="5" fillId="7" borderId="11" applyAlignment="1" pivotButton="0" quotePrefix="0" xfId="0">
      <alignment horizontal="center" vertical="center"/>
    </xf>
    <xf numFmtId="165" fontId="5" fillId="7" borderId="11" applyAlignment="1" pivotButton="0" quotePrefix="0" xfId="0">
      <alignment horizontal="center" vertical="center"/>
    </xf>
    <xf numFmtId="164" fontId="5" fillId="4" borderId="11" applyAlignment="1" pivotButton="0" quotePrefix="0" xfId="0">
      <alignment horizontal="center" vertical="center"/>
    </xf>
    <xf numFmtId="165" fontId="5" fillId="4" borderId="11" applyAlignment="1" pivotButton="0" quotePrefix="0" xfId="0">
      <alignment horizontal="center" vertical="center"/>
    </xf>
    <xf numFmtId="0" fontId="22" fillId="11" borderId="13" applyAlignment="1" pivotButton="0" quotePrefix="0" xfId="0">
      <alignment horizontal="left" vertical="center" indent="1"/>
    </xf>
    <xf numFmtId="0" fontId="21" fillId="0" borderId="13" pivotButton="0" quotePrefix="0" xfId="0"/>
    <xf numFmtId="0" fontId="23" fillId="0" borderId="13" applyAlignment="1" pivotButton="0" quotePrefix="0" xfId="0">
      <alignment horizontal="left" vertical="center" indent="1"/>
    </xf>
    <xf numFmtId="0" fontId="24" fillId="12" borderId="12" applyAlignment="1" pivotButton="0" quotePrefix="0" xfId="0">
      <alignment horizontal="left" vertical="center"/>
    </xf>
    <xf numFmtId="0" fontId="19" fillId="9" borderId="12" applyAlignment="1" applyProtection="1" pivotButton="0" quotePrefix="0" xfId="0">
      <alignment horizontal="center" vertical="center"/>
      <protection locked="0" hidden="0"/>
    </xf>
    <xf numFmtId="0" fontId="24" fillId="12" borderId="12" applyAlignment="1" pivotButton="0" quotePrefix="0" xfId="0">
      <alignment horizontal="center" vertical="center"/>
    </xf>
    <xf numFmtId="0" fontId="24" fillId="11" borderId="14" applyAlignment="1" pivotButton="0" quotePrefix="0" xfId="0">
      <alignment horizontal="center" vertical="center"/>
    </xf>
    <xf numFmtId="166" fontId="24" fillId="11" borderId="14" applyAlignment="1" pivotButton="0" quotePrefix="0" xfId="0">
      <alignment horizontal="center" vertical="center"/>
    </xf>
    <xf numFmtId="0" fontId="25" fillId="13" borderId="12" applyAlignment="1" pivotButton="0" quotePrefix="0" xfId="0">
      <alignment horizontal="left" vertical="center"/>
    </xf>
    <xf numFmtId="166" fontId="25" fillId="9" borderId="12" applyAlignment="1" applyProtection="1" pivotButton="0" quotePrefix="0" xfId="0">
      <alignment horizontal="center" vertical="center"/>
      <protection locked="0" hidden="0"/>
    </xf>
    <xf numFmtId="168" fontId="18" fillId="8" borderId="12" applyAlignment="1" pivotButton="0" quotePrefix="0" xfId="0">
      <alignment horizontal="center" vertical="center"/>
    </xf>
    <xf numFmtId="0" fontId="25" fillId="9" borderId="12" applyAlignment="1" pivotButton="0" quotePrefix="0" xfId="0">
      <alignment horizontal="left" vertical="center"/>
    </xf>
    <xf numFmtId="0" fontId="18" fillId="8" borderId="12" applyAlignment="1" pivotButton="0" quotePrefix="0" xfId="0">
      <alignment horizontal="left" vertical="center"/>
    </xf>
    <xf numFmtId="0" fontId="20" fillId="10" borderId="12" applyAlignment="1" pivotButton="0" quotePrefix="0" xfId="0">
      <alignment horizontal="left" vertical="center"/>
    </xf>
    <xf numFmtId="164" fontId="8" fillId="7" borderId="11" applyAlignment="1" pivotButton="0" quotePrefix="0" xfId="0">
      <alignment horizontal="center" vertical="center"/>
    </xf>
    <xf numFmtId="164" fontId="6" fillId="3" borderId="11" applyAlignment="1" applyProtection="1" pivotButton="0" quotePrefix="0" xfId="0">
      <alignment horizontal="center" vertical="center"/>
      <protection locked="0" hidden="0"/>
    </xf>
    <xf numFmtId="164" fontId="5" fillId="2" borderId="11" applyAlignment="1" pivotButton="0" quotePrefix="0" xfId="0">
      <alignment horizontal="center" vertical="center"/>
    </xf>
    <xf numFmtId="164" fontId="8" fillId="4" borderId="11" applyAlignment="1" pivotButton="0" quotePrefix="0" xfId="0">
      <alignment horizontal="center" vertical="center"/>
    </xf>
    <xf numFmtId="164" fontId="5" fillId="7" borderId="11" applyAlignment="1" pivotButton="0" quotePrefix="0" xfId="0">
      <alignment horizontal="left" vertical="center"/>
    </xf>
  </cellXfs>
  <cellStyles count="1">
    <cellStyle name="Normal" xfId="0" builtinId="0"/>
  </cellStyles>
  <dxfs count="75"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0B1F3A"/>
        <sz val="12"/>
      </font>
      <fill>
        <patternFill patternType="solid">
          <fgColor rgb="FFFEF3C7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9A3412"/>
      </font>
      <fill>
        <patternFill patternType="solid">
          <fgColor rgb="FFFED7AA"/>
        </patternFill>
      </fill>
    </dxf>
    <dxf>
      <font>
        <b val="1"/>
        <color rgb="FF374151"/>
      </font>
      <fill>
        <patternFill patternType="solid">
          <fgColor rgb="FFE5E7EB"/>
        </patternFill>
      </fill>
    </dxf>
    <dxf>
      <font>
        <b val="1"/>
        <color rgb="FF92400E"/>
      </font>
      <fill>
        <patternFill patternType="solid">
          <fgColor rgb="FFFEF3C7"/>
        </patternFill>
      </fill>
    </dxf>
    <dxf>
      <font>
        <b val="1"/>
        <color rgb="FF9A3412"/>
      </font>
      <fill>
        <patternFill patternType="solid">
          <fgColor rgb="FFFED7AA"/>
        </patternFill>
      </fill>
    </dxf>
    <dxf>
      <font>
        <b val="1"/>
        <color rgb="FF374151"/>
      </font>
      <fill>
        <patternFill patternType="solid">
          <fgColor rgb="FFE5E7EB"/>
        </patternFill>
      </fill>
    </dxf>
    <dxf>
      <font>
        <b val="1"/>
        <color rgb="FF92400E"/>
      </font>
      <fill>
        <patternFill patternType="solid">
          <fgColor rgb="FFFEF3C7"/>
        </patternFill>
      </fill>
    </dxf>
    <dxf>
      <font>
        <b val="1"/>
        <color rgb="FF6B7280"/>
      </font>
      <fill>
        <patternFill patternType="solid">
          <fgColor rgb="FFF3F4F6"/>
        </patternFill>
      </fill>
    </dxf>
    <dxf>
      <font>
        <b val="1"/>
        <color rgb="FFDC2626"/>
      </font>
      <fill>
        <patternFill patternType="solid">
          <fgColor rgb="FFFEE2E2"/>
        </patternFill>
      </fill>
    </dxf>
    <dxf>
      <font>
        <b val="1"/>
        <color rgb="FF16A34A"/>
      </font>
      <fill>
        <patternFill patternType="solid">
          <fgColor rgb="FFDCFCE7"/>
        </patternFill>
      </fill>
    </dxf>
    <dxf>
      <font>
        <b val="1"/>
        <color rgb="FF16A34A"/>
      </font>
      <fill>
        <patternFill>
          <bgColor rgb="FFDCFCE7"/>
        </patternFill>
      </fill>
    </dxf>
    <dxf>
      <font>
        <b val="1"/>
        <color rgb="FFDC2626"/>
      </font>
      <fill>
        <patternFill>
          <bgColor rgb="FFFEE2E2"/>
        </patternFill>
      </fill>
    </dxf>
    <dxf>
      <font>
        <i val="1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565C0"/>
    <outlinePr summaryBelow="1" summaryRight="1"/>
    <pageSetUpPr/>
  </sheetPr>
  <dimension ref="B1:G36"/>
  <sheetViews>
    <sheetView showGridLines="0" zoomScale="90" workbookViewId="0">
      <selection activeCell="S9" sqref="S9"/>
    </sheetView>
  </sheetViews>
  <sheetFormatPr baseColWidth="8" defaultRowHeight="15"/>
  <cols>
    <col width="4" customWidth="1" style="53" min="1" max="1"/>
    <col width="28" customWidth="1" style="53" min="2" max="2"/>
    <col width="26" customWidth="1" style="53" min="3" max="7"/>
    <col width="4" customWidth="1" style="53" min="8" max="8"/>
  </cols>
  <sheetData>
    <row r="1" ht="51.95" customHeight="1" s="53">
      <c r="B1" s="38" t="inlineStr">
        <is>
          <t>YEAR 11 FANTASY LEAGUE</t>
        </is>
      </c>
    </row>
    <row r="2" ht="32.1" customHeight="1" s="53">
      <c r="B2" s="47" t="inlineStr">
        <is>
          <t>GAMEWEEK 1</t>
        </is>
      </c>
    </row>
    <row r="3" ht="12" customHeight="1" s="53"/>
    <row r="4" ht="33.95" customHeight="1" s="53">
      <c r="B4" s="42" t="inlineStr">
        <is>
          <t xml:space="preserve">  GAMEWEEK 1: Biology and English  </t>
        </is>
      </c>
    </row>
    <row r="5" ht="33.95" customHeight="1" s="53">
      <c r="B5" s="42" t="inlineStr">
        <is>
          <t xml:space="preserve"> GAMEWEEK 1</t>
        </is>
      </c>
    </row>
    <row r="6" ht="12" customHeight="1" s="53"/>
    <row r="7" ht="30" customHeight="1" s="53">
      <c r="B7" s="1" t="inlineStr">
        <is>
          <t>CURRENT GAMEWEEK:</t>
        </is>
      </c>
      <c r="C7" s="2" t="n">
        <v>1</v>
      </c>
    </row>
    <row r="8" ht="12" customHeight="1" s="53"/>
    <row r="9" ht="32.1" customHeight="1" s="53">
      <c r="B9" s="39" t="inlineStr">
        <is>
          <t>HOW TO PLAY</t>
        </is>
      </c>
    </row>
    <row r="10" ht="30" customHeight="1" s="53">
      <c r="B10" s="46" t="inlineStr">
        <is>
          <t>1.  Go to PICK YOUR TEAM and click your name.</t>
        </is>
      </c>
      <c r="C10" s="54" t="n"/>
      <c r="D10" s="54" t="n"/>
      <c r="E10" s="54" t="n"/>
      <c r="F10" s="54" t="n"/>
      <c r="G10" s="55" t="n"/>
    </row>
    <row r="11" ht="30" customHeight="1" s="53">
      <c r="B11" s="46" t="inlineStr">
        <is>
          <t>2.  Pick 5 players from the dropdowns.</t>
        </is>
      </c>
      <c r="C11" s="54" t="n"/>
      <c r="D11" s="54" t="n"/>
      <c r="E11" s="54" t="n"/>
      <c r="F11" s="54" t="n"/>
      <c r="G11" s="55" t="n"/>
    </row>
    <row r="12" ht="30" customHeight="1" s="53">
      <c r="B12" s="46" t="inlineStr">
        <is>
          <t>3.  Pick 1 captain using the GOLD CAPTAIN BOX.</t>
        </is>
      </c>
      <c r="C12" s="54" t="n"/>
      <c r="D12" s="54" t="n"/>
      <c r="E12" s="54" t="n"/>
      <c r="F12" s="54" t="n"/>
      <c r="G12" s="55" t="n"/>
    </row>
    <row r="13" ht="30" customHeight="1" s="53">
      <c r="B13" s="46" t="inlineStr">
        <is>
          <t>4.  Stay under the £50m budget.</t>
        </is>
      </c>
      <c r="C13" s="54" t="n"/>
      <c r="D13" s="54" t="n"/>
      <c r="E13" s="54" t="n"/>
      <c r="F13" s="54" t="n"/>
      <c r="G13" s="55" t="n"/>
    </row>
    <row r="14" ht="30" customHeight="1" s="53">
      <c r="B14" s="46" t="inlineStr">
        <is>
          <t>5.  Enter your own test % on TEST RESULTS after each test.</t>
        </is>
      </c>
      <c r="C14" s="54" t="n"/>
      <c r="D14" s="54" t="n"/>
      <c r="E14" s="54" t="n"/>
      <c r="F14" s="54" t="n"/>
      <c r="G14" s="55" t="n"/>
    </row>
    <row r="16" ht="12" customHeight="1" s="53"/>
    <row r="17" ht="32.1" customHeight="1" s="53">
      <c r="B17" s="39" t="inlineStr">
        <is>
          <t>HOW POINTS WORK</t>
        </is>
      </c>
    </row>
    <row r="18" ht="24" customHeight="1" s="53">
      <c r="B18" s="45" t="inlineStr">
        <is>
          <t>Your score is compared to the CLASS AVERAGE.
Average = 5 points. Every small step above = +1. Every step below = −1.</t>
        </is>
      </c>
      <c r="C18" s="56" t="n"/>
      <c r="D18" s="56" t="n"/>
      <c r="E18" s="56" t="n"/>
      <c r="F18" s="56" t="n"/>
      <c r="G18" s="57" t="n"/>
    </row>
    <row r="19" ht="24" customHeight="1" s="53">
      <c r="B19" s="58" t="n"/>
      <c r="C19" s="59" t="n"/>
      <c r="D19" s="59" t="n"/>
      <c r="E19" s="59" t="n"/>
      <c r="F19" s="59" t="n"/>
      <c r="G19" s="60" t="n"/>
    </row>
    <row r="20" ht="26.1" customHeight="1" s="53">
      <c r="B20" s="43" t="inlineStr">
        <is>
          <t>Well above average</t>
        </is>
      </c>
      <c r="C20" s="55" t="n"/>
      <c r="D20" s="44" t="inlineStr">
        <is>
          <t>High points</t>
        </is>
      </c>
      <c r="E20" s="54" t="n"/>
      <c r="F20" s="54" t="n"/>
      <c r="G20" s="55" t="n"/>
    </row>
    <row r="21" ht="26.1" customHeight="1" s="53">
      <c r="B21" s="43" t="inlineStr">
        <is>
          <t>Slightly above</t>
        </is>
      </c>
      <c r="C21" s="55" t="n"/>
      <c r="D21" s="44" t="inlineStr">
        <is>
          <t>6–7 points</t>
        </is>
      </c>
      <c r="E21" s="54" t="n"/>
      <c r="F21" s="54" t="n"/>
      <c r="G21" s="55" t="n"/>
    </row>
    <row r="22" ht="26.1" customHeight="1" s="53">
      <c r="B22" s="43" t="inlineStr">
        <is>
          <t>Exactly average</t>
        </is>
      </c>
      <c r="C22" s="55" t="n"/>
      <c r="D22" s="44" t="inlineStr">
        <is>
          <t>5 points</t>
        </is>
      </c>
      <c r="E22" s="54" t="n"/>
      <c r="F22" s="54" t="n"/>
      <c r="G22" s="55" t="n"/>
    </row>
    <row r="23" ht="26.1" customHeight="1" s="53">
      <c r="B23" s="43" t="inlineStr">
        <is>
          <t>Slightly below</t>
        </is>
      </c>
      <c r="C23" s="55" t="n"/>
      <c r="D23" s="44" t="inlineStr">
        <is>
          <t>3–4 points</t>
        </is>
      </c>
      <c r="E23" s="54" t="n"/>
      <c r="F23" s="54" t="n"/>
      <c r="G23" s="55" t="n"/>
    </row>
    <row r="24" ht="26.1" customHeight="1" s="53">
      <c r="B24" s="43" t="inlineStr">
        <is>
          <t>Well below</t>
        </is>
      </c>
      <c r="C24" s="55" t="n"/>
      <c r="D24" s="44" t="inlineStr">
        <is>
          <t>0–1 points</t>
        </is>
      </c>
      <c r="E24" s="54" t="n"/>
      <c r="F24" s="54" t="n"/>
      <c r="G24" s="55" t="n"/>
    </row>
    <row r="26" ht="12" customHeight="1" s="53"/>
    <row r="27" ht="32.1" customHeight="1" s="53">
      <c r="B27" s="39" t="inlineStr">
        <is>
          <t>HOW PRICES WORK</t>
        </is>
      </c>
    </row>
    <row r="28" ht="24" customHeight="1" s="53">
      <c r="B28" s="45" t="inlineStr">
        <is>
          <t>Prices move based on your 3-WEEK FORM vs the class average.
Cheap players rise faster. Expensive players rise slower.</t>
        </is>
      </c>
      <c r="C28" s="56" t="n"/>
      <c r="D28" s="56" t="n"/>
      <c r="E28" s="56" t="n"/>
      <c r="F28" s="56" t="n"/>
      <c r="G28" s="57" t="n"/>
    </row>
    <row r="29" ht="24" customHeight="1" s="53">
      <c r="B29" s="58" t="n"/>
      <c r="C29" s="59" t="n"/>
      <c r="D29" s="59" t="n"/>
      <c r="E29" s="59" t="n"/>
      <c r="F29" s="59" t="n"/>
      <c r="G29" s="60" t="n"/>
    </row>
    <row r="30" ht="26.1" customHeight="1" s="53">
      <c r="B30" s="43" t="inlineStr">
        <is>
          <t>No changes first 2 weeks</t>
        </is>
      </c>
      <c r="C30" s="54" t="n"/>
      <c r="D30" s="55" t="n"/>
      <c r="E30" s="44" t="inlineStr">
        <is>
          <t>Settling in</t>
        </is>
      </c>
      <c r="F30" s="54" t="n"/>
      <c r="G30" s="55" t="n"/>
    </row>
    <row r="31" ht="26.1" customHeight="1" s="53">
      <c r="B31" s="43" t="inlineStr">
        <is>
          <t>Week 3 onward</t>
        </is>
      </c>
      <c r="C31" s="54" t="n"/>
      <c r="D31" s="55" t="n"/>
      <c r="E31" s="44" t="inlineStr">
        <is>
          <t>Prices move based on form</t>
        </is>
      </c>
      <c r="F31" s="54" t="n"/>
      <c r="G31" s="55" t="n"/>
    </row>
    <row r="32" ht="26.1" customHeight="1" s="53">
      <c r="B32" s="43" t="inlineStr">
        <is>
          <t>Beating average consistently</t>
        </is>
      </c>
      <c r="C32" s="54" t="n"/>
      <c r="D32" s="55" t="n"/>
      <c r="E32" s="44" t="inlineStr">
        <is>
          <t>Price rises up to +£0.5m/week</t>
        </is>
      </c>
      <c r="F32" s="54" t="n"/>
      <c r="G32" s="55" t="n"/>
    </row>
    <row r="33" ht="26.1" customHeight="1" s="53">
      <c r="B33" s="43" t="inlineStr">
        <is>
          <t>Below average consistently</t>
        </is>
      </c>
      <c r="C33" s="54" t="n"/>
      <c r="D33" s="55" t="n"/>
      <c r="E33" s="44" t="inlineStr">
        <is>
          <t>Price falls up to -£0.5m/week</t>
        </is>
      </c>
      <c r="F33" s="54" t="n"/>
      <c r="G33" s="55" t="n"/>
    </row>
    <row r="34" ht="26.1" customHeight="1" s="53">
      <c r="B34" s="43" t="inlineStr">
        <is>
          <t>Bounds</t>
        </is>
      </c>
      <c r="C34" s="54" t="n"/>
      <c r="D34" s="55" t="n"/>
      <c r="E34" s="44" t="inlineStr">
        <is>
          <t>£7.0m  to  £13.0m</t>
        </is>
      </c>
      <c r="F34" s="54" t="n"/>
      <c r="G34" s="55" t="n"/>
    </row>
    <row r="36" ht="30" customHeight="1" s="53">
      <c r="B36" s="41" t="inlineStr">
        <is>
          <t>SETTINGS and RULES sheets have more detail. Ask Mr C if anything is unclear.</t>
        </is>
      </c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XU9A40SOC7wxglGKM52MQw==" formatRows="0" sort="1" spinCount="100000" hashValue="gPfsALrggDvm55LjZn7R57g2yIXoSM98pC1DEC7CVIY2FpQzhrD4XssJIJRTob4/Tbz9xr0dKGsgqJOXwwZsCw=="/>
  <mergeCells count="35">
    <mergeCell ref="B2:G2"/>
    <mergeCell ref="B14:G14"/>
    <mergeCell ref="B17:G17"/>
    <mergeCell ref="E31:G31"/>
    <mergeCell ref="B1:G1"/>
    <mergeCell ref="D24:G24"/>
    <mergeCell ref="E34:G34"/>
    <mergeCell ref="B22:C22"/>
    <mergeCell ref="B13:G13"/>
    <mergeCell ref="E30:G30"/>
    <mergeCell ref="B34:D34"/>
    <mergeCell ref="D23:G23"/>
    <mergeCell ref="B21:C21"/>
    <mergeCell ref="B10:G10"/>
    <mergeCell ref="D20:G20"/>
    <mergeCell ref="B9:G9"/>
    <mergeCell ref="B23:C23"/>
    <mergeCell ref="B30:D30"/>
    <mergeCell ref="B18:G19"/>
    <mergeCell ref="B33:D33"/>
    <mergeCell ref="E32:G32"/>
    <mergeCell ref="D22:G22"/>
    <mergeCell ref="B36:G36"/>
    <mergeCell ref="B5:G5"/>
    <mergeCell ref="B32:D32"/>
    <mergeCell ref="D21:G21"/>
    <mergeCell ref="B4:G4"/>
    <mergeCell ref="B24:C24"/>
    <mergeCell ref="E33:G33"/>
    <mergeCell ref="B28:G29"/>
    <mergeCell ref="B31:D31"/>
    <mergeCell ref="B20:C20"/>
    <mergeCell ref="B27:G27"/>
    <mergeCell ref="B12:G12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75569"/>
    <outlinePr summaryBelow="1" summaryRight="1"/>
    <pageSetUpPr/>
  </sheetPr>
  <dimension ref="B1:C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28" customWidth="1" style="53" min="2" max="2"/>
    <col width="72" customWidth="1" style="53" min="3" max="3"/>
  </cols>
  <sheetData>
    <row r="1" ht="51.95" customHeight="1" s="53">
      <c r="B1" s="38" t="inlineStr">
        <is>
          <t>RULES &amp; HOW TO PLAY</t>
        </is>
      </c>
    </row>
    <row r="4" ht="39.95" customHeight="1" s="53">
      <c r="B4" s="4" t="inlineStr">
        <is>
          <t>BUDGET</t>
        </is>
      </c>
      <c r="C4" s="5" t="inlineStr">
        <is>
          <t>£50.0m per manager. Pick exactly 5 players.</t>
        </is>
      </c>
    </row>
    <row r="5" ht="8.1" customHeight="1" s="53"/>
    <row r="6" ht="39.95" customHeight="1" s="53">
      <c r="B6" s="4" t="inlineStr">
        <is>
          <t>CAPTAIN</t>
        </is>
      </c>
      <c r="C6" s="5" t="inlineStr">
        <is>
          <t>Pick 1 captain using the GOLD box on your team sheet. Captain scores 2× points.</t>
        </is>
      </c>
    </row>
    <row r="7" ht="8.1" customHeight="1" s="53"/>
    <row r="8" ht="39.95" customHeight="1" s="53">
      <c r="B8" s="4" t="inlineStr">
        <is>
          <t>DEADLINE</t>
        </is>
      </c>
      <c r="C8" s="5" t="inlineStr">
        <is>
          <t>Set on HOME each gameweek.</t>
        </is>
      </c>
    </row>
    <row r="9" ht="8.1" customHeight="1" s="53"/>
    <row r="10" ht="39.95" customHeight="1" s="53">
      <c r="B10" s="4" t="inlineStr">
        <is>
          <t>TEST DATE</t>
        </is>
      </c>
      <c r="C10" s="5" t="inlineStr">
        <is>
          <t>Set on HOME each gameweek.</t>
        </is>
      </c>
    </row>
    <row r="11" ht="8.1" customHeight="1" s="53"/>
    <row r="12" ht="39.95" customHeight="1" s="53">
      <c r="B12" s="4" t="inlineStr">
        <is>
          <t>RESULT ENTRY</t>
        </is>
      </c>
      <c r="C12" s="5" t="inlineStr">
        <is>
          <t>Each student enters their own test % on TEST RESULTS.</t>
        </is>
      </c>
    </row>
    <row r="13" ht="8.1" customHeight="1" s="53"/>
    <row r="14" ht="39.95" customHeight="1" s="53">
      <c r="B14" s="4" t="inlineStr">
        <is>
          <t>POINTS</t>
        </is>
      </c>
      <c r="C14" s="5" t="inlineStr">
        <is>
          <t>Based on class average. Average = 5 pts. Every step above/below = ±1 pt. Step size adjusts to class spread. Capped 0–10.</t>
        </is>
      </c>
    </row>
    <row r="15" ht="8.1" customHeight="1" s="53"/>
    <row r="16" ht="39.95" customHeight="1" s="53">
      <c r="B16" s="4" t="inlineStr">
        <is>
          <t>PRICE CHANGES</t>
        </is>
      </c>
      <c r="C16" s="5" t="inlineStr">
        <is>
          <t>Move based on 3-week form vs class average. First 2 weeks: no change. Week 3 onward: max ±£0.5m per week.</t>
        </is>
      </c>
    </row>
    <row r="17" ht="8.1" customHeight="1" s="53"/>
    <row r="18" ht="39.95" customHeight="1" s="53">
      <c r="B18" s="4" t="inlineStr">
        <is>
          <t>PRICE SCALING</t>
        </is>
      </c>
      <c r="C18" s="5" t="inlineStr">
        <is>
          <t>Cheap players rise faster (×1.0). Mid-price ×0.75. Expensive ×0.5.</t>
        </is>
      </c>
    </row>
    <row r="19" ht="8.1" customHeight="1" s="53"/>
    <row r="20" ht="39.95" customHeight="1" s="53">
      <c r="B20" s="4" t="inlineStr">
        <is>
          <t>PRICE LIMITS</t>
        </is>
      </c>
      <c r="C20" s="5" t="inlineStr">
        <is>
          <t>Minimum £7.0m. Maximum £13.0m.</t>
        </is>
      </c>
    </row>
    <row r="21" ht="8.1" customHeight="1" s="53"/>
    <row r="22" ht="39.95" customHeight="1" s="53">
      <c r="B22" s="4" t="inlineStr">
        <is>
          <t>TRANSFERS</t>
        </is>
      </c>
      <c r="C22" s="5" t="inlineStr">
        <is>
          <t>Unlimited free transfers between gameweeks.</t>
        </is>
      </c>
    </row>
    <row r="23" ht="8.1" customHeight="1" s="53"/>
    <row r="24" ht="39.95" customHeight="1" s="53">
      <c r="B24" s="4" t="inlineStr">
        <is>
          <t>GOLDEN RULE</t>
        </is>
      </c>
      <c r="C24" s="5" t="inlineStr">
        <is>
          <t>Pick 5 players + captain, enter your test score. Excel does the rest.</t>
        </is>
      </c>
    </row>
    <row r="25" ht="8.1" customHeight="1" s="53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 password="90E3"/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B1:C26"/>
  <sheetViews>
    <sheetView showGridLines="0" zoomScale="90" workbookViewId="0">
      <selection activeCell="B10" sqref="B10"/>
    </sheetView>
  </sheetViews>
  <sheetFormatPr baseColWidth="8" defaultRowHeight="15"/>
  <cols>
    <col width="6" customWidth="1" style="53" min="1" max="1"/>
    <col width="32" customWidth="1" style="53" min="2" max="2"/>
    <col width="26" customWidth="1" style="53" min="3" max="3"/>
  </cols>
  <sheetData>
    <row r="1" ht="51.95" customHeight="1" s="53">
      <c r="B1" s="38" t="inlineStr">
        <is>
          <t>PICK YOUR TEAM</t>
        </is>
      </c>
    </row>
    <row r="2" ht="30" customHeight="1" s="53">
      <c r="B2" s="40" t="inlineStr">
        <is>
          <t>Click your name to jump to your team sheet.</t>
        </is>
      </c>
    </row>
    <row r="3" ht="12" customHeight="1" s="53"/>
    <row r="4" ht="32.1" customHeight="1" s="53">
      <c r="B4" s="6" t="inlineStr">
        <is>
          <t>Manager</t>
        </is>
      </c>
      <c r="C4" s="6">
        <f>"Status: " &amp; COUNTIF(C6:C26,"VALID TEAM") &amp; "/" &amp; COUNTA(B6:B26)</f>
        <v/>
      </c>
    </row>
    <row r="5" ht="30" customHeight="1" s="53">
      <c r="B5" s="7" t="inlineStr">
        <is>
          <t>Alexa Amesimeku</t>
        </is>
      </c>
      <c r="C5" s="8">
        <f>CALCULATIONS!U2</f>
        <v/>
      </c>
    </row>
    <row r="6" ht="30" customHeight="1" s="53">
      <c r="B6" s="7" t="inlineStr">
        <is>
          <t>Alfie Foley</t>
        </is>
      </c>
      <c r="C6" s="8">
        <f>CALCULATIONS!U3</f>
        <v/>
      </c>
    </row>
    <row r="7" ht="30" customHeight="1" s="53">
      <c r="B7" s="7" t="inlineStr">
        <is>
          <t>Alyza Rai</t>
        </is>
      </c>
      <c r="C7" s="8">
        <f>CALCULATIONS!U4</f>
        <v/>
      </c>
    </row>
    <row r="8" ht="30" customHeight="1" s="53">
      <c r="B8" s="7" t="inlineStr">
        <is>
          <t>Ava Swinfen</t>
        </is>
      </c>
      <c r="C8" s="8">
        <f>CALCULATIONS!U5</f>
        <v/>
      </c>
    </row>
    <row r="9" ht="30" customHeight="1" s="53">
      <c r="B9" s="7" t="inlineStr">
        <is>
          <t>Azlan Husain</t>
        </is>
      </c>
      <c r="C9" s="8">
        <f>CALCULATIONS!U6</f>
        <v/>
      </c>
    </row>
    <row r="10" ht="30" customHeight="1" s="53">
      <c r="B10" s="7" t="inlineStr">
        <is>
          <t>Chinedu Chile</t>
        </is>
      </c>
      <c r="C10" s="8">
        <f>CALCULATIONS!U7</f>
        <v/>
      </c>
    </row>
    <row r="11" ht="30" customHeight="1" s="53">
      <c r="B11" s="7" t="inlineStr">
        <is>
          <t>Daniel Liu</t>
        </is>
      </c>
      <c r="C11" s="8">
        <f>CALCULATIONS!U8</f>
        <v/>
      </c>
    </row>
    <row r="12" ht="30" customHeight="1" s="53">
      <c r="B12" s="7" t="inlineStr">
        <is>
          <t>David Wu</t>
        </is>
      </c>
      <c r="C12" s="8">
        <f>CALCULATIONS!U9</f>
        <v/>
      </c>
    </row>
    <row r="13" ht="30" customHeight="1" s="53">
      <c r="B13" s="7" t="inlineStr">
        <is>
          <t>Edwin Mayers</t>
        </is>
      </c>
      <c r="C13" s="8">
        <f>CALCULATIONS!U10</f>
        <v/>
      </c>
    </row>
    <row r="14" ht="30" customHeight="1" s="53">
      <c r="B14" s="7" t="inlineStr">
        <is>
          <t>Emily Warburton</t>
        </is>
      </c>
      <c r="C14" s="8">
        <f>CALCULATIONS!U11</f>
        <v/>
      </c>
    </row>
    <row r="15" ht="30" customHeight="1" s="53">
      <c r="B15" s="7" t="inlineStr">
        <is>
          <t>Esme Beston</t>
        </is>
      </c>
      <c r="C15" s="8">
        <f>CALCULATIONS!U12</f>
        <v/>
      </c>
    </row>
    <row r="16" ht="30" customHeight="1" s="53">
      <c r="B16" s="7" t="inlineStr">
        <is>
          <t>Iona Smith</t>
        </is>
      </c>
      <c r="C16" s="8">
        <f>CALCULATIONS!U13</f>
        <v/>
      </c>
    </row>
    <row r="17" ht="30" customHeight="1" s="53">
      <c r="B17" s="7" t="inlineStr">
        <is>
          <t>Joe Paige</t>
        </is>
      </c>
      <c r="C17" s="8">
        <f>CALCULATIONS!U14</f>
        <v/>
      </c>
    </row>
    <row r="18" ht="30" customHeight="1" s="53">
      <c r="B18" s="7" t="inlineStr">
        <is>
          <t>Lia Li</t>
        </is>
      </c>
      <c r="C18" s="8">
        <f>CALCULATIONS!U15</f>
        <v/>
      </c>
    </row>
    <row r="19" ht="30" customHeight="1" s="53">
      <c r="B19" s="7" t="inlineStr">
        <is>
          <t>Melody Zhaeentan</t>
        </is>
      </c>
      <c r="C19" s="8">
        <f>CALCULATIONS!U16</f>
        <v/>
      </c>
    </row>
    <row r="20" ht="30" customHeight="1" s="53">
      <c r="B20" s="7" t="inlineStr">
        <is>
          <t>Nina De Saram</t>
        </is>
      </c>
      <c r="C20" s="8">
        <f>CALCULATIONS!U17</f>
        <v/>
      </c>
    </row>
    <row r="21" ht="30" customHeight="1" s="53">
      <c r="B21" s="7" t="inlineStr">
        <is>
          <t>Oscar Day-Duran</t>
        </is>
      </c>
      <c r="C21" s="8">
        <f>CALCULATIONS!U18</f>
        <v/>
      </c>
    </row>
    <row r="22" ht="30" customHeight="1" s="53">
      <c r="B22" s="7" t="inlineStr">
        <is>
          <t>Rebecca Seymour</t>
        </is>
      </c>
      <c r="C22" s="8">
        <f>CALCULATIONS!U19</f>
        <v/>
      </c>
    </row>
    <row r="23" ht="30" customHeight="1" s="53">
      <c r="B23" s="7" t="inlineStr">
        <is>
          <t>Rory Bowman</t>
        </is>
      </c>
      <c r="C23" s="8">
        <f>CALCULATIONS!U20</f>
        <v/>
      </c>
    </row>
    <row r="24" ht="30" customHeight="1" s="53">
      <c r="B24" s="7" t="inlineStr">
        <is>
          <t>Sophie Barker</t>
        </is>
      </c>
      <c r="C24" s="8">
        <f>CALCULATIONS!U21</f>
        <v/>
      </c>
    </row>
    <row r="25" ht="30" customHeight="1" s="53">
      <c r="B25" s="7" t="inlineStr">
        <is>
          <t>Xander Meijer</t>
        </is>
      </c>
      <c r="C25" s="8">
        <f>CALCULATIONS!U22</f>
        <v/>
      </c>
    </row>
    <row r="26"/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SDx6Z0KH60p4u9LY/bYOlg==" formatRows="0" sort="1" spinCount="100000" hashValue="+4lH9vxQffujk2tQfLXOLZuBF6UOWQPEgzxJ8Feyl8fjLtzjc7GgIo5Db5TVklmqZ/s9AjUkTTpCQecq8AMxmw=="/>
  <mergeCells count="2">
    <mergeCell ref="B1:C1"/>
    <mergeCell ref="B2:C2"/>
  </mergeCells>
  <conditionalFormatting sqref="C5:C25">
    <cfRule type="expression" priority="3" dxfId="73">
      <formula>AND(C5&lt;&gt;"",C5&lt;&gt;"VALID TEAM")</formula>
    </cfRule>
    <cfRule type="cellIs" priority="4" operator="equal" dxfId="72">
      <formula>"VALID TEAM"</formula>
    </cfRule>
  </conditionalFormatting>
  <hyperlinks>
    <hyperlink ref="B5" location="'Alexa Amesimeku'!A1" display="Alexa Amesimeku"/>
    <hyperlink ref="B6" location="'Alfie Foley'!A1" display="Alfie Foley"/>
    <hyperlink ref="B7" location="'Alyza Rai'!A1" display="Alyza Rai"/>
    <hyperlink ref="B8" location="'Ava Swinfen'!A1" display="Ava Swinfen"/>
    <hyperlink ref="B9" location="'Azlan Husain'!A1" display="Azlan Husain"/>
    <hyperlink ref="B10" location="'Chinedu Chile'!A1" display="Chinedu Chile"/>
    <hyperlink ref="B11" location="'Daniel Liu'!A1" display="Daniel Liu"/>
    <hyperlink ref="B12" location="'David Wu'!A1" display="David Wu"/>
    <hyperlink ref="B13" location="'Edwin Mayers'!A1" display="Edwin Mayers"/>
    <hyperlink ref="B14" location="'Emily Warburton'!A1" display="Emily Warburton"/>
    <hyperlink ref="B15" location="'Esme Beston'!A1" display="Esme Beston"/>
    <hyperlink ref="B16" location="'Iona Smith'!A1" display="Iona Smith"/>
    <hyperlink ref="B17" location="'Joe Paige'!A1" display="Joe Paige"/>
    <hyperlink ref="B18" location="'Lia Li'!A1" display="Lia Li"/>
    <hyperlink ref="B19" location="'Melody Zhaeentan'!A1" display="Melody Zhaeentan"/>
    <hyperlink ref="B20" location="'Nina De Saram'!A1" display="Nina De Saram"/>
    <hyperlink ref="B21" location="'Oscar Day-Duran'!A1" display="Oscar Day-Duran"/>
    <hyperlink ref="B22" location="'Rebecca Seymour'!A1" display="Rebecca Seymour"/>
    <hyperlink ref="B23" location="'Rory Bowman'!A1" display="Rory Bowman"/>
    <hyperlink ref="B24" location="'Sophie Barker'!A1" display="Sophie Barker"/>
    <hyperlink ref="B25" location="'Xander Meijer'!A1" display="Xander Meijer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1:E30"/>
  <sheetViews>
    <sheetView showGridLines="0" topLeftCell="A8" zoomScale="90" workbookViewId="0">
      <selection activeCell="A1" sqref="A1"/>
    </sheetView>
  </sheetViews>
  <sheetFormatPr baseColWidth="8" defaultRowHeight="15"/>
  <cols>
    <col width="4" customWidth="1" style="53" min="1" max="1"/>
    <col width="34" customWidth="1" style="53" min="2" max="2"/>
    <col width="14" customWidth="1" style="53" min="3" max="4"/>
    <col width="20" customWidth="1" style="53" min="5" max="5"/>
  </cols>
  <sheetData>
    <row r="1" ht="51.95" customHeight="1" s="53">
      <c r="B1" s="38" t="inlineStr">
        <is>
          <t>PLAYER MARKET</t>
        </is>
      </c>
    </row>
    <row r="2" ht="30" customHeight="1" s="53">
      <c r="B2" s="40" t="inlineStr">
        <is>
          <t>Prices  •  This week's change  •  Ownership</t>
        </is>
      </c>
    </row>
    <row r="3" ht="12" customHeight="1" s="53"/>
    <row r="4" ht="32.1" customHeight="1" s="53">
      <c r="B4" s="6" t="inlineStr">
        <is>
          <t>Player</t>
        </is>
      </c>
      <c r="C4" s="6" t="inlineStr">
        <is>
          <t>Price</t>
        </is>
      </c>
      <c r="D4" s="6" t="inlineStr">
        <is>
          <t>Change</t>
        </is>
      </c>
      <c r="E4" s="6" t="inlineStr">
        <is>
          <t>Ownership %</t>
        </is>
      </c>
    </row>
    <row r="5" ht="27.95" customHeight="1" s="53">
      <c r="B5" s="9">
        <f>CALCULATIONS!A2</f>
        <v/>
      </c>
      <c r="C5" s="63">
        <f>CALCULATIONS!C2</f>
        <v/>
      </c>
      <c r="D5" s="64">
        <f>IF(SETTINGS!C29=0,0,CALCULATIONS!C2-CALCULATIONS!B2)</f>
        <v/>
      </c>
      <c r="E5" s="12">
        <f>COUNTIF(CALCULATIONS!$L$2:$P$22,CALCULATIONS!A2)/COUNTA(CALCULATIONS!$K$2:$K$22)</f>
        <v/>
      </c>
    </row>
    <row r="6" ht="27.95" customHeight="1" s="53">
      <c r="B6" s="45">
        <f>CALCULATIONS!A3</f>
        <v/>
      </c>
      <c r="C6" s="65">
        <f>CALCULATIONS!C3</f>
        <v/>
      </c>
      <c r="D6" s="66">
        <f>IF(SETTINGS!C29=0,0,CALCULATIONS!C3-CALCULATIONS!B3)</f>
        <v/>
      </c>
      <c r="E6" s="15">
        <f>COUNTIF(CALCULATIONS!$L$2:$P$22,CALCULATIONS!A3)/COUNTA(CALCULATIONS!$K$2:$K$22)</f>
        <v/>
      </c>
    </row>
    <row r="7" ht="27.95" customHeight="1" s="53">
      <c r="B7" s="9">
        <f>CALCULATIONS!A4</f>
        <v/>
      </c>
      <c r="C7" s="63">
        <f>CALCULATIONS!C4</f>
        <v/>
      </c>
      <c r="D7" s="64">
        <f>IF(SETTINGS!C29=0,0,CALCULATIONS!C4-CALCULATIONS!B4)</f>
        <v/>
      </c>
      <c r="E7" s="12">
        <f>COUNTIF(CALCULATIONS!$L$2:$P$22,CALCULATIONS!A4)/COUNTA(CALCULATIONS!$K$2:$K$22)</f>
        <v/>
      </c>
    </row>
    <row r="8" ht="27.95" customHeight="1" s="53">
      <c r="B8" s="45">
        <f>CALCULATIONS!A5</f>
        <v/>
      </c>
      <c r="C8" s="65">
        <f>CALCULATIONS!C5</f>
        <v/>
      </c>
      <c r="D8" s="66">
        <f>IF(SETTINGS!C29=0,0,CALCULATIONS!C5-CALCULATIONS!B5)</f>
        <v/>
      </c>
      <c r="E8" s="15">
        <f>COUNTIF(CALCULATIONS!$L$2:$P$22,CALCULATIONS!A5)/COUNTA(CALCULATIONS!$K$2:$K$22)</f>
        <v/>
      </c>
    </row>
    <row r="9" ht="27.95" customHeight="1" s="53">
      <c r="B9" s="9">
        <f>CALCULATIONS!A6</f>
        <v/>
      </c>
      <c r="C9" s="63">
        <f>CALCULATIONS!C6</f>
        <v/>
      </c>
      <c r="D9" s="64">
        <f>IF(SETTINGS!C29=0,0,CALCULATIONS!C6-CALCULATIONS!B6)</f>
        <v/>
      </c>
      <c r="E9" s="12">
        <f>COUNTIF(CALCULATIONS!$L$2:$P$22,CALCULATIONS!A6)/COUNTA(CALCULATIONS!$K$2:$K$22)</f>
        <v/>
      </c>
    </row>
    <row r="10" ht="27.95" customHeight="1" s="53">
      <c r="B10" s="45">
        <f>CALCULATIONS!A7</f>
        <v/>
      </c>
      <c r="C10" s="65">
        <f>CALCULATIONS!C7</f>
        <v/>
      </c>
      <c r="D10" s="66">
        <f>IF(SETTINGS!C29=0,0,CALCULATIONS!C7-CALCULATIONS!B7)</f>
        <v/>
      </c>
      <c r="E10" s="15">
        <f>COUNTIF(CALCULATIONS!$L$2:$P$22,CALCULATIONS!A7)/COUNTA(CALCULATIONS!$K$2:$K$22)</f>
        <v/>
      </c>
    </row>
    <row r="11" ht="27.95" customHeight="1" s="53">
      <c r="B11" s="9">
        <f>CALCULATIONS!A8</f>
        <v/>
      </c>
      <c r="C11" s="63">
        <f>CALCULATIONS!C8</f>
        <v/>
      </c>
      <c r="D11" s="64">
        <f>IF(SETTINGS!C29=0,0,CALCULATIONS!C8-CALCULATIONS!B8)</f>
        <v/>
      </c>
      <c r="E11" s="12">
        <f>COUNTIF(CALCULATIONS!$L$2:$P$22,CALCULATIONS!A8)/COUNTA(CALCULATIONS!$K$2:$K$22)</f>
        <v/>
      </c>
    </row>
    <row r="12" ht="27.95" customHeight="1" s="53">
      <c r="B12" s="45">
        <f>CALCULATIONS!A9</f>
        <v/>
      </c>
      <c r="C12" s="65">
        <f>CALCULATIONS!C9</f>
        <v/>
      </c>
      <c r="D12" s="66">
        <f>IF(SETTINGS!C29=0,0,CALCULATIONS!C9-CALCULATIONS!B9)</f>
        <v/>
      </c>
      <c r="E12" s="15">
        <f>COUNTIF(CALCULATIONS!$L$2:$P$22,CALCULATIONS!A9)/COUNTA(CALCULATIONS!$K$2:$K$22)</f>
        <v/>
      </c>
    </row>
    <row r="13" ht="27.95" customHeight="1" s="53">
      <c r="B13" s="9">
        <f>CALCULATIONS!A10</f>
        <v/>
      </c>
      <c r="C13" s="63">
        <f>CALCULATIONS!C10</f>
        <v/>
      </c>
      <c r="D13" s="64">
        <f>IF(SETTINGS!C29=0,0,CALCULATIONS!C10-CALCULATIONS!B10)</f>
        <v/>
      </c>
      <c r="E13" s="12">
        <f>COUNTIF(CALCULATIONS!$L$2:$P$22,CALCULATIONS!A10)/COUNTA(CALCULATIONS!$K$2:$K$22)</f>
        <v/>
      </c>
    </row>
    <row r="14" ht="27.95" customHeight="1" s="53">
      <c r="B14" s="45">
        <f>CALCULATIONS!A11</f>
        <v/>
      </c>
      <c r="C14" s="65">
        <f>CALCULATIONS!C11</f>
        <v/>
      </c>
      <c r="D14" s="66">
        <f>IF(SETTINGS!C29=0,0,CALCULATIONS!C11-CALCULATIONS!B11)</f>
        <v/>
      </c>
      <c r="E14" s="15">
        <f>COUNTIF(CALCULATIONS!$L$2:$P$22,CALCULATIONS!A11)/COUNTA(CALCULATIONS!$K$2:$K$22)</f>
        <v/>
      </c>
    </row>
    <row r="15" ht="27.95" customHeight="1" s="53">
      <c r="B15" s="9">
        <f>CALCULATIONS!A12</f>
        <v/>
      </c>
      <c r="C15" s="63">
        <f>CALCULATIONS!C12</f>
        <v/>
      </c>
      <c r="D15" s="64">
        <f>IF(SETTINGS!C29=0,0,CALCULATIONS!C12-CALCULATIONS!B12)</f>
        <v/>
      </c>
      <c r="E15" s="12">
        <f>COUNTIF(CALCULATIONS!$L$2:$P$22,CALCULATIONS!A12)/COUNTA(CALCULATIONS!$K$2:$K$22)</f>
        <v/>
      </c>
    </row>
    <row r="16" ht="27.95" customHeight="1" s="53">
      <c r="B16" s="45">
        <f>CALCULATIONS!A13</f>
        <v/>
      </c>
      <c r="C16" s="65">
        <f>CALCULATIONS!C13</f>
        <v/>
      </c>
      <c r="D16" s="66">
        <f>IF(SETTINGS!C29=0,0,CALCULATIONS!C13-CALCULATIONS!B13)</f>
        <v/>
      </c>
      <c r="E16" s="15">
        <f>COUNTIF(CALCULATIONS!$L$2:$P$22,CALCULATIONS!A13)/COUNTA(CALCULATIONS!$K$2:$K$22)</f>
        <v/>
      </c>
    </row>
    <row r="17" ht="27.95" customHeight="1" s="53">
      <c r="B17" s="9">
        <f>CALCULATIONS!A14</f>
        <v/>
      </c>
      <c r="C17" s="63">
        <f>CALCULATIONS!C14</f>
        <v/>
      </c>
      <c r="D17" s="64">
        <f>IF(SETTINGS!C29=0,0,CALCULATIONS!C14-CALCULATIONS!B14)</f>
        <v/>
      </c>
      <c r="E17" s="12">
        <f>COUNTIF(CALCULATIONS!$L$2:$P$22,CALCULATIONS!A14)/COUNTA(CALCULATIONS!$K$2:$K$22)</f>
        <v/>
      </c>
    </row>
    <row r="18" ht="27.95" customHeight="1" s="53">
      <c r="B18" s="45">
        <f>CALCULATIONS!A15</f>
        <v/>
      </c>
      <c r="C18" s="65">
        <f>CALCULATIONS!C15</f>
        <v/>
      </c>
      <c r="D18" s="66">
        <f>IF(SETTINGS!C29=0,0,CALCULATIONS!C15-CALCULATIONS!B15)</f>
        <v/>
      </c>
      <c r="E18" s="15">
        <f>COUNTIF(CALCULATIONS!$L$2:$P$22,CALCULATIONS!A15)/COUNTA(CALCULATIONS!$K$2:$K$22)</f>
        <v/>
      </c>
    </row>
    <row r="19" ht="27.95" customHeight="1" s="53">
      <c r="B19" s="9">
        <f>CALCULATIONS!A16</f>
        <v/>
      </c>
      <c r="C19" s="63">
        <f>CALCULATIONS!C16</f>
        <v/>
      </c>
      <c r="D19" s="64">
        <f>IF(SETTINGS!C29=0,0,CALCULATIONS!C16-CALCULATIONS!B16)</f>
        <v/>
      </c>
      <c r="E19" s="12">
        <f>COUNTIF(CALCULATIONS!$L$2:$P$22,CALCULATIONS!A16)/COUNTA(CALCULATIONS!$K$2:$K$22)</f>
        <v/>
      </c>
    </row>
    <row r="20" ht="27.95" customHeight="1" s="53">
      <c r="B20" s="45">
        <f>CALCULATIONS!A17</f>
        <v/>
      </c>
      <c r="C20" s="65">
        <f>CALCULATIONS!C17</f>
        <v/>
      </c>
      <c r="D20" s="66">
        <f>IF(SETTINGS!C29=0,0,CALCULATIONS!C17-CALCULATIONS!B17)</f>
        <v/>
      </c>
      <c r="E20" s="15">
        <f>COUNTIF(CALCULATIONS!$L$2:$P$22,CALCULATIONS!A17)/COUNTA(CALCULATIONS!$K$2:$K$22)</f>
        <v/>
      </c>
    </row>
    <row r="21" ht="27.95" customHeight="1" s="53">
      <c r="B21" s="9">
        <f>CALCULATIONS!A18</f>
        <v/>
      </c>
      <c r="C21" s="63">
        <f>CALCULATIONS!C18</f>
        <v/>
      </c>
      <c r="D21" s="64">
        <f>IF(SETTINGS!C29=0,0,CALCULATIONS!C18-CALCULATIONS!B18)</f>
        <v/>
      </c>
      <c r="E21" s="12">
        <f>COUNTIF(CALCULATIONS!$L$2:$P$22,CALCULATIONS!A18)/COUNTA(CALCULATIONS!$K$2:$K$22)</f>
        <v/>
      </c>
    </row>
    <row r="22" ht="27.95" customHeight="1" s="53">
      <c r="B22" s="45">
        <f>CALCULATIONS!A19</f>
        <v/>
      </c>
      <c r="C22" s="65">
        <f>CALCULATIONS!C19</f>
        <v/>
      </c>
      <c r="D22" s="66">
        <f>IF(SETTINGS!C29=0,0,CALCULATIONS!C19-CALCULATIONS!B19)</f>
        <v/>
      </c>
      <c r="E22" s="15">
        <f>COUNTIF(CALCULATIONS!$L$2:$P$22,CALCULATIONS!A19)/COUNTA(CALCULATIONS!$K$2:$K$22)</f>
        <v/>
      </c>
    </row>
    <row r="23" ht="27.95" customHeight="1" s="53">
      <c r="B23" s="9">
        <f>CALCULATIONS!A20</f>
        <v/>
      </c>
      <c r="C23" s="63">
        <f>CALCULATIONS!C20</f>
        <v/>
      </c>
      <c r="D23" s="64">
        <f>IF(SETTINGS!C29=0,0,CALCULATIONS!C20-CALCULATIONS!B20)</f>
        <v/>
      </c>
      <c r="E23" s="12">
        <f>COUNTIF(CALCULATIONS!$L$2:$P$22,CALCULATIONS!A20)/COUNTA(CALCULATIONS!$K$2:$K$22)</f>
        <v/>
      </c>
    </row>
    <row r="24" ht="27.95" customHeight="1" s="53">
      <c r="B24" s="45">
        <f>CALCULATIONS!A21</f>
        <v/>
      </c>
      <c r="C24" s="65">
        <f>CALCULATIONS!C21</f>
        <v/>
      </c>
      <c r="D24" s="66">
        <f>IF(SETTINGS!C29=0,0,CALCULATIONS!C21-CALCULATIONS!B21)</f>
        <v/>
      </c>
      <c r="E24" s="15">
        <f>COUNTIF(CALCULATIONS!$L$2:$P$22,CALCULATIONS!A21)/COUNTA(CALCULATIONS!$K$2:$K$22)</f>
        <v/>
      </c>
    </row>
    <row r="25" ht="27.95" customHeight="1" s="53">
      <c r="B25" s="9">
        <f>CALCULATIONS!A22</f>
        <v/>
      </c>
      <c r="C25" s="63">
        <f>CALCULATIONS!C22</f>
        <v/>
      </c>
      <c r="D25" s="64">
        <f>IF(SETTINGS!C29=0,0,CALCULATIONS!C22-CALCULATIONS!B22)</f>
        <v/>
      </c>
      <c r="E25" s="12">
        <f>COUNTIF(CALCULATIONS!$L$2:$P$22,CALCULATIONS!A22)/COUNTA(CALCULATIONS!$K$2:$K$22)</f>
        <v/>
      </c>
    </row>
    <row r="28">
      <c r="B28" s="48" t="inlineStr">
        <is>
          <t>PRICE RULES
Prices move based on 3-week form vs class average.
First 2 gameweeks: no changes.  Min £7.0m  •  Max £13.0m</t>
        </is>
      </c>
      <c r="C28" s="56" t="n"/>
      <c r="D28" s="56" t="n"/>
      <c r="E28" s="57" t="n"/>
    </row>
    <row r="29">
      <c r="B29" s="61" t="n"/>
      <c r="E29" s="62" t="n"/>
    </row>
    <row r="30">
      <c r="B30" s="58" t="n"/>
      <c r="C30" s="59" t="n"/>
      <c r="D30" s="59" t="n"/>
      <c r="E30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 password="90E3"/>
  <mergeCells count="3">
    <mergeCell ref="B1:E1"/>
    <mergeCell ref="B2:E2"/>
    <mergeCell ref="B28:E30"/>
  </mergeCells>
  <conditionalFormatting sqref="D5:D25">
    <cfRule type="expression" priority="1" dxfId="2">
      <formula>D5&gt;0</formula>
    </cfRule>
    <cfRule type="expression" priority="2" dxfId="1">
      <formula>D5&lt;0</formula>
    </cfRule>
    <cfRule type="expression" priority="3" dxfId="69">
      <formula>D5=0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59E0B"/>
    <outlinePr summaryBelow="1" summaryRight="1"/>
    <pageSetUpPr/>
  </sheetPr>
  <dimension ref="B1:I34"/>
  <sheetViews>
    <sheetView showGridLines="0" zoomScale="90" workbookViewId="0">
      <selection activeCell="C18" sqref="C18"/>
    </sheetView>
  </sheetViews>
  <sheetFormatPr baseColWidth="8" defaultRowHeight="15"/>
  <cols>
    <col width="4" customWidth="1" style="53" min="1" max="1"/>
    <col width="26" customWidth="1" style="53" min="2" max="2"/>
    <col width="12" customWidth="1" style="53" min="3" max="3"/>
    <col width="12" customWidth="1" style="53" min="4" max="4"/>
    <col width="12" customWidth="1" style="53" min="5" max="5"/>
    <col width="12" customWidth="1" style="53" min="6" max="6"/>
    <col width="12" customWidth="1" style="53" min="7" max="7"/>
    <col width="12" customWidth="1" style="53" min="8" max="8"/>
    <col width="4" customWidth="1" style="53" min="9" max="9"/>
  </cols>
  <sheetData>
    <row r="1" ht="52" customHeight="1" s="53">
      <c r="B1" s="67" t="inlineStr">
        <is>
          <t>TEST RESULTS</t>
        </is>
      </c>
      <c r="I1" s="68" t="n"/>
    </row>
    <row r="2" ht="30" customHeight="1" s="53">
      <c r="B2" s="69" t="inlineStr">
        <is>
          <t>Enter your test scores. Greyed columns are not counted this week.</t>
        </is>
      </c>
      <c r="I2" s="68" t="n"/>
    </row>
    <row r="3" ht="10" customHeight="1" s="53">
      <c r="B3" s="68" t="n"/>
      <c r="I3" s="68" t="n"/>
    </row>
    <row r="4" ht="28" customHeight="1" s="53">
      <c r="B4" s="70" t="inlineStr">
        <is>
          <t>Test name:</t>
        </is>
      </c>
      <c r="C4" s="71" t="n"/>
      <c r="D4" s="71" t="n"/>
      <c r="E4" s="71" t="n"/>
      <c r="F4" s="71" t="n"/>
      <c r="G4" s="71" t="n"/>
      <c r="H4" s="72" t="inlineStr">
        <is>
          <t>Score</t>
        </is>
      </c>
      <c r="I4" s="68" t="n"/>
    </row>
    <row r="5" ht="32" customHeight="1" s="53">
      <c r="B5" s="73" t="inlineStr">
        <is>
          <t>Student</t>
        </is>
      </c>
      <c r="C5" s="74" t="inlineStr">
        <is>
          <t>Test 1</t>
        </is>
      </c>
      <c r="D5" s="73" t="inlineStr">
        <is>
          <t>Test 2</t>
        </is>
      </c>
      <c r="E5" s="73" t="inlineStr">
        <is>
          <t>Test 3</t>
        </is>
      </c>
      <c r="F5" s="73" t="inlineStr">
        <is>
          <t>Test 4</t>
        </is>
      </c>
      <c r="G5" s="73" t="inlineStr">
        <is>
          <t>Test 5</t>
        </is>
      </c>
      <c r="H5" s="73" t="inlineStr">
        <is>
          <t>Score</t>
        </is>
      </c>
      <c r="I5" s="68" t="n"/>
    </row>
    <row r="6" ht="30" customHeight="1" s="53">
      <c r="B6" s="75" t="inlineStr">
        <is>
          <t>Alexa Amesimeku</t>
        </is>
      </c>
      <c r="C6" s="76" t="n"/>
      <c r="D6" s="76" t="n"/>
      <c r="E6" s="76" t="n"/>
      <c r="F6" s="76" t="n"/>
      <c r="G6" s="76" t="n"/>
      <c r="H6" s="77">
        <f>IFERROR(AVERAGE(C6:INDEX(C6:G6,SETTINGS!$C$17)),"")</f>
        <v/>
      </c>
      <c r="I6" s="68" t="n"/>
    </row>
    <row r="7" ht="30" customHeight="1" s="53">
      <c r="B7" s="75" t="inlineStr">
        <is>
          <t>Alfie Foley</t>
        </is>
      </c>
      <c r="C7" s="76" t="n"/>
      <c r="D7" s="76" t="n"/>
      <c r="E7" s="76" t="n"/>
      <c r="F7" s="76" t="n"/>
      <c r="G7" s="76" t="n"/>
      <c r="H7" s="77">
        <f>IFERROR(AVERAGE(C7:INDEX(C7:G7,SETTINGS!$C$17)),"")</f>
        <v/>
      </c>
      <c r="I7" s="68" t="n"/>
    </row>
    <row r="8" ht="30" customHeight="1" s="53">
      <c r="B8" s="75" t="inlineStr">
        <is>
          <t>Alyza Rai</t>
        </is>
      </c>
      <c r="C8" s="76" t="n"/>
      <c r="D8" s="76" t="n"/>
      <c r="E8" s="76" t="n"/>
      <c r="F8" s="76" t="n"/>
      <c r="G8" s="76" t="n"/>
      <c r="H8" s="77">
        <f>IFERROR(AVERAGE(C8:INDEX(C8:G8,SETTINGS!$C$17)),"")</f>
        <v/>
      </c>
      <c r="I8" s="68" t="n"/>
    </row>
    <row r="9" ht="30" customHeight="1" s="53">
      <c r="B9" s="75" t="inlineStr">
        <is>
          <t>Ava Swinfen</t>
        </is>
      </c>
      <c r="C9" s="76" t="n"/>
      <c r="D9" s="76" t="n"/>
      <c r="E9" s="76" t="n"/>
      <c r="F9" s="76" t="n"/>
      <c r="G9" s="76" t="n"/>
      <c r="H9" s="77">
        <f>IFERROR(AVERAGE(C9:INDEX(C9:G9,SETTINGS!$C$17)),"")</f>
        <v/>
      </c>
      <c r="I9" s="68" t="n"/>
    </row>
    <row r="10" ht="30" customHeight="1" s="53">
      <c r="B10" s="75" t="inlineStr">
        <is>
          <t>Azlan Husain</t>
        </is>
      </c>
      <c r="C10" s="76" t="n"/>
      <c r="D10" s="76" t="n"/>
      <c r="E10" s="76" t="n"/>
      <c r="F10" s="76" t="n"/>
      <c r="G10" s="76" t="n"/>
      <c r="H10" s="77">
        <f>IFERROR(AVERAGE(C10:INDEX(C10:G10,SETTINGS!$C$17)),"")</f>
        <v/>
      </c>
      <c r="I10" s="68" t="n"/>
    </row>
    <row r="11" ht="30" customHeight="1" s="53">
      <c r="B11" s="75" t="inlineStr">
        <is>
          <t>Chinedu Chile</t>
        </is>
      </c>
      <c r="C11" s="76" t="n"/>
      <c r="D11" s="76" t="n"/>
      <c r="E11" s="76" t="n"/>
      <c r="F11" s="76" t="n"/>
      <c r="G11" s="76" t="n"/>
      <c r="H11" s="77">
        <f>IFERROR(AVERAGE(C11:INDEX(C11:G11,SETTINGS!$C$17)),"")</f>
        <v/>
      </c>
      <c r="I11" s="68" t="n"/>
    </row>
    <row r="12" ht="30" customHeight="1" s="53">
      <c r="B12" s="75" t="inlineStr">
        <is>
          <t>Daniel Liu</t>
        </is>
      </c>
      <c r="C12" s="76" t="n"/>
      <c r="D12" s="76" t="n"/>
      <c r="E12" s="76" t="n"/>
      <c r="F12" s="76" t="n"/>
      <c r="G12" s="76" t="n"/>
      <c r="H12" s="77">
        <f>IFERROR(AVERAGE(C12:INDEX(C12:G12,SETTINGS!$C$17)),"")</f>
        <v/>
      </c>
      <c r="I12" s="68" t="n"/>
    </row>
    <row r="13" ht="30" customHeight="1" s="53">
      <c r="B13" s="75" t="inlineStr">
        <is>
          <t>David Wu</t>
        </is>
      </c>
      <c r="C13" s="76" t="n"/>
      <c r="D13" s="76" t="n"/>
      <c r="E13" s="76" t="n"/>
      <c r="F13" s="76" t="n"/>
      <c r="G13" s="76" t="n"/>
      <c r="H13" s="77">
        <f>IFERROR(AVERAGE(C13:INDEX(C13:G13,SETTINGS!$C$17)),"")</f>
        <v/>
      </c>
      <c r="I13" s="68" t="n"/>
    </row>
    <row r="14" ht="30" customHeight="1" s="53">
      <c r="B14" s="75" t="inlineStr">
        <is>
          <t>Edwin Mayers</t>
        </is>
      </c>
      <c r="C14" s="76" t="n"/>
      <c r="D14" s="76" t="n"/>
      <c r="E14" s="76" t="n"/>
      <c r="F14" s="76" t="n"/>
      <c r="G14" s="76" t="n"/>
      <c r="H14" s="77">
        <f>IFERROR(AVERAGE(C14:INDEX(C14:G14,SETTINGS!$C$17)),"")</f>
        <v/>
      </c>
      <c r="I14" s="68" t="n"/>
    </row>
    <row r="15" ht="30" customHeight="1" s="53">
      <c r="B15" s="75" t="inlineStr">
        <is>
          <t>Emily Warburton</t>
        </is>
      </c>
      <c r="C15" s="76" t="n"/>
      <c r="D15" s="76" t="n"/>
      <c r="E15" s="76" t="n"/>
      <c r="F15" s="76" t="n"/>
      <c r="G15" s="76" t="n"/>
      <c r="H15" s="77">
        <f>IFERROR(AVERAGE(C15:INDEX(C15:G15,SETTINGS!$C$17)),"")</f>
        <v/>
      </c>
      <c r="I15" s="68" t="n"/>
    </row>
    <row r="16" ht="30" customHeight="1" s="53">
      <c r="B16" s="75" t="inlineStr">
        <is>
          <t>Esme Beston</t>
        </is>
      </c>
      <c r="C16" s="76" t="n"/>
      <c r="D16" s="76" t="n"/>
      <c r="E16" s="76" t="n"/>
      <c r="F16" s="76" t="n"/>
      <c r="G16" s="76" t="n"/>
      <c r="H16" s="77">
        <f>IFERROR(AVERAGE(C16:INDEX(C16:G16,SETTINGS!$C$17)),"")</f>
        <v/>
      </c>
      <c r="I16" s="68" t="n"/>
    </row>
    <row r="17" ht="30" customHeight="1" s="53">
      <c r="B17" s="75" t="inlineStr">
        <is>
          <t>Iona Smith</t>
        </is>
      </c>
      <c r="C17" s="76" t="n"/>
      <c r="D17" s="76" t="n"/>
      <c r="E17" s="76" t="n"/>
      <c r="F17" s="76" t="n"/>
      <c r="G17" s="76" t="n"/>
      <c r="H17" s="77">
        <f>IFERROR(AVERAGE(C17:INDEX(C17:G17,SETTINGS!$C$17)),"")</f>
        <v/>
      </c>
      <c r="I17" s="68" t="n"/>
    </row>
    <row r="18" ht="30" customHeight="1" s="53">
      <c r="B18" s="75" t="inlineStr">
        <is>
          <t>Joe Paige</t>
        </is>
      </c>
      <c r="C18" s="76" t="n"/>
      <c r="D18" s="76" t="n"/>
      <c r="E18" s="76" t="n"/>
      <c r="F18" s="76" t="n"/>
      <c r="G18" s="76" t="n"/>
      <c r="H18" s="77">
        <f>IFERROR(AVERAGE(C18:INDEX(C18:G18,SETTINGS!$C$17)),"")</f>
        <v/>
      </c>
      <c r="I18" s="68" t="n"/>
    </row>
    <row r="19" ht="30" customHeight="1" s="53">
      <c r="B19" s="75" t="inlineStr">
        <is>
          <t>Lia Li</t>
        </is>
      </c>
      <c r="C19" s="76" t="n"/>
      <c r="D19" s="76" t="n"/>
      <c r="E19" s="76" t="n"/>
      <c r="F19" s="76" t="n"/>
      <c r="G19" s="76" t="n"/>
      <c r="H19" s="77">
        <f>IFERROR(AVERAGE(C19:INDEX(C19:G19,SETTINGS!$C$17)),"")</f>
        <v/>
      </c>
      <c r="I19" s="68" t="n"/>
    </row>
    <row r="20" ht="30" customHeight="1" s="53">
      <c r="B20" s="75" t="inlineStr">
        <is>
          <t>Melody Zhaeentan</t>
        </is>
      </c>
      <c r="C20" s="76" t="n"/>
      <c r="D20" s="76" t="n"/>
      <c r="E20" s="76" t="n"/>
      <c r="F20" s="76" t="n"/>
      <c r="G20" s="76" t="n"/>
      <c r="H20" s="77">
        <f>IFERROR(AVERAGE(C20:INDEX(C20:G20,SETTINGS!$C$17)),"")</f>
        <v/>
      </c>
      <c r="I20" s="68" t="n"/>
    </row>
    <row r="21" ht="30" customHeight="1" s="53">
      <c r="B21" s="75" t="inlineStr">
        <is>
          <t>Nina De Saram</t>
        </is>
      </c>
      <c r="C21" s="76" t="n"/>
      <c r="D21" s="76" t="n"/>
      <c r="E21" s="76" t="n"/>
      <c r="F21" s="76" t="n"/>
      <c r="G21" s="76" t="n"/>
      <c r="H21" s="77">
        <f>IFERROR(AVERAGE(C21:INDEX(C21:G21,SETTINGS!$C$17)),"")</f>
        <v/>
      </c>
      <c r="I21" s="68" t="n"/>
    </row>
    <row r="22" ht="30" customHeight="1" s="53">
      <c r="B22" s="75" t="inlineStr">
        <is>
          <t>Oscar Day-Duran</t>
        </is>
      </c>
      <c r="C22" s="76" t="n"/>
      <c r="D22" s="76" t="n"/>
      <c r="E22" s="76" t="n"/>
      <c r="F22" s="76" t="n"/>
      <c r="G22" s="76" t="n"/>
      <c r="H22" s="77">
        <f>IFERROR(AVERAGE(C22:INDEX(C22:G22,SETTINGS!$C$17)),"")</f>
        <v/>
      </c>
      <c r="I22" s="68" t="n"/>
    </row>
    <row r="23" ht="30" customHeight="1" s="53">
      <c r="B23" s="75" t="inlineStr">
        <is>
          <t>Rebecca Seymour</t>
        </is>
      </c>
      <c r="C23" s="76" t="n"/>
      <c r="D23" s="76" t="n"/>
      <c r="E23" s="76" t="n"/>
      <c r="F23" s="76" t="n"/>
      <c r="G23" s="76" t="n"/>
      <c r="H23" s="77">
        <f>IFERROR(AVERAGE(C23:INDEX(C23:G23,SETTINGS!$C$17)),"")</f>
        <v/>
      </c>
      <c r="I23" s="68" t="n"/>
    </row>
    <row r="24" ht="30" customHeight="1" s="53">
      <c r="B24" s="75" t="inlineStr">
        <is>
          <t>Rory Bowman</t>
        </is>
      </c>
      <c r="C24" s="76" t="n"/>
      <c r="D24" s="76" t="n"/>
      <c r="E24" s="76" t="n"/>
      <c r="F24" s="76" t="n"/>
      <c r="G24" s="76" t="n"/>
      <c r="H24" s="77">
        <f>IFERROR(AVERAGE(C24:INDEX(C24:G24,SETTINGS!$C$17)),"")</f>
        <v/>
      </c>
      <c r="I24" s="68" t="n"/>
    </row>
    <row r="25" ht="30" customHeight="1" s="53">
      <c r="B25" s="75" t="inlineStr">
        <is>
          <t>Sophie Barker</t>
        </is>
      </c>
      <c r="C25" s="76" t="n"/>
      <c r="D25" s="76" t="n"/>
      <c r="E25" s="76" t="n"/>
      <c r="F25" s="76" t="n"/>
      <c r="G25" s="76" t="n"/>
      <c r="H25" s="77">
        <f>IFERROR(AVERAGE(C25:INDEX(C25:G25,SETTINGS!$C$17)),"")</f>
        <v/>
      </c>
      <c r="I25" s="68" t="n"/>
    </row>
    <row r="26" ht="30" customHeight="1" s="53">
      <c r="B26" s="75" t="inlineStr">
        <is>
          <t>Xander Meijer</t>
        </is>
      </c>
      <c r="C26" s="76" t="n"/>
      <c r="D26" s="76" t="n"/>
      <c r="E26" s="76" t="n"/>
      <c r="F26" s="76" t="n"/>
      <c r="G26" s="76" t="n"/>
      <c r="H26" s="77">
        <f>IFERROR(AVERAGE(C26:INDEX(C26:G26,SETTINGS!$C$17)),"")</f>
        <v/>
      </c>
      <c r="I26" s="68" t="n"/>
    </row>
    <row r="27">
      <c r="B27" s="68" t="n"/>
      <c r="C27" s="68" t="n"/>
      <c r="D27" s="68" t="n"/>
      <c r="E27" s="68" t="n"/>
      <c r="F27" s="68" t="n"/>
      <c r="G27" s="68" t="n"/>
      <c r="H27" s="68" t="n"/>
      <c r="I27" s="68" t="n"/>
    </row>
    <row r="28">
      <c r="B28" s="78" t="inlineStr">
        <is>
          <t>Enter a whole number 0–100 in the gold cells.
Greyed columns are not counted — set how many count in SETTINGS!C17.</t>
        </is>
      </c>
      <c r="I28" s="68" t="n"/>
    </row>
    <row r="29">
      <c r="I29" s="68" t="n"/>
    </row>
    <row r="30">
      <c r="I30" s="68" t="n"/>
    </row>
    <row r="31">
      <c r="B31" s="68" t="n"/>
      <c r="C31" s="68" t="n"/>
      <c r="D31" s="68" t="n"/>
      <c r="E31" s="68" t="n"/>
      <c r="F31" s="68" t="n"/>
      <c r="G31" s="68" t="n"/>
      <c r="H31" s="68" t="n"/>
      <c r="I31" s="68" t="n"/>
    </row>
    <row r="32">
      <c r="B32" s="68" t="n"/>
      <c r="C32" s="68" t="n"/>
      <c r="D32" s="68" t="n"/>
      <c r="E32" s="68" t="n"/>
      <c r="F32" s="68" t="n"/>
      <c r="G32" s="68" t="n"/>
      <c r="H32" s="68" t="n"/>
      <c r="I32" s="68" t="n"/>
    </row>
    <row r="33">
      <c r="B33" s="68" t="n"/>
      <c r="C33" s="68" t="n"/>
      <c r="D33" s="68" t="n"/>
      <c r="E33" s="68" t="n"/>
      <c r="F33" s="68" t="n"/>
      <c r="G33" s="68" t="n"/>
      <c r="H33" s="68" t="n"/>
      <c r="I33" s="68" t="n"/>
    </row>
    <row r="34">
      <c r="B34" s="68" t="n"/>
      <c r="C34" s="68" t="n"/>
      <c r="D34" s="68" t="n"/>
      <c r="E34" s="68" t="n"/>
      <c r="F34" s="68" t="n"/>
      <c r="G34" s="68" t="n"/>
      <c r="H34" s="68" t="n"/>
      <c r="I34" s="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0E3"/>
  <mergeCells count="4">
    <mergeCell ref="B1:H1"/>
    <mergeCell ref="B3:H3"/>
    <mergeCell ref="B2:H2"/>
    <mergeCell ref="B28:H30"/>
  </mergeCells>
  <conditionalFormatting sqref="C4:G4">
    <cfRule type="expression" priority="1" dxfId="74">
      <formula>COLUMN()-2 &gt; SETTINGS!$C$17</formula>
    </cfRule>
  </conditionalFormatting>
  <conditionalFormatting sqref="C5:G5">
    <cfRule type="expression" priority="1" dxfId="74">
      <formula>COLUMN()-2 &gt; SETTINGS!$C$17</formula>
    </cfRule>
  </conditionalFormatting>
  <conditionalFormatting sqref="C6:G26">
    <cfRule type="expression" priority="1" dxfId="74">
      <formula>COLUMN()-2 &gt; SETTINGS!$C$17</formula>
    </cfRule>
  </conditionalFormatting>
  <dataValidations count="1">
    <dataValidation sqref="C6:G26" showDropDown="0" showInputMessage="0" showErrorMessage="1" allowBlank="1" errorTitle="Invalid score" error="Enter a whole number 0–100." type="whole" operator="between">
      <formula1>0</formula1>
      <formula2>100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F766E"/>
    <outlinePr summaryBelow="1" summaryRight="1"/>
    <pageSetUpPr/>
  </sheetPr>
  <dimension ref="B1:D26"/>
  <sheetViews>
    <sheetView showGridLines="0" zoomScale="70" zoomScaleNormal="70" workbookViewId="0">
      <selection activeCell="G14" sqref="G14"/>
    </sheetView>
  </sheetViews>
  <sheetFormatPr baseColWidth="8" defaultRowHeight="15"/>
  <cols>
    <col width="4" customWidth="1" style="53" min="1" max="1"/>
    <col width="12" customWidth="1" style="53" min="2" max="2"/>
    <col width="32" customWidth="1" style="53" min="3" max="3"/>
    <col width="18" customWidth="1" style="53" min="4" max="4"/>
  </cols>
  <sheetData>
    <row r="1" ht="51.95" customHeight="1" s="53">
      <c r="B1" s="38" t="inlineStr">
        <is>
          <t>OVERALL LEADERBOARD</t>
        </is>
      </c>
    </row>
    <row r="2" ht="26.1" customHeight="1" s="53">
      <c r="B2" s="40" t="inlineStr">
        <is>
          <t>All gameweeks combined  •  Sorted by points</t>
        </is>
      </c>
    </row>
    <row r="3" ht="38.1" customHeight="1" s="53">
      <c r="B3" s="51">
        <f>IF(MAX($D$6:$D$26)=0,"🏆  OVERALL LEADER:  No results yet","🏆  OVERALL LEADER:  "&amp;INDEX($C$6:$C$26,MATCH(MAX($D$6:$D$26),$D$6:$D$26,0))&amp;"  —  "&amp;MAX($D$6:$D$26)&amp;" pts")</f>
        <v/>
      </c>
      <c r="C3" s="54" t="n"/>
      <c r="D3" s="55" t="n"/>
    </row>
    <row r="4" ht="12" customHeight="1" s="53"/>
    <row r="5" ht="32.1" customHeight="1" s="53">
      <c r="B5" s="6" t="inlineStr">
        <is>
          <t>Rank</t>
        </is>
      </c>
      <c r="C5" s="6" t="inlineStr">
        <is>
          <t>Manager</t>
        </is>
      </c>
      <c r="D5" s="6" t="inlineStr">
        <is>
          <t>Overall Points</t>
        </is>
      </c>
    </row>
    <row r="6" ht="30" customHeight="1" s="53">
      <c r="B6" s="18">
        <f t="array" ref="B6">SUMPRODUCT((D$6:D$26&gt;D6)/COUNTIF(D$6:D$26,D$6:D$26))+1</f>
        <v/>
      </c>
      <c r="C6" s="9">
        <f>IFERROR(INDEX(CALCULATIONS!$K$2:$K$22,MATCH(LARGE(CALCULATIONS!$V$2:$V$22,ROW()-5),CALCULATIONS!$V$2:$V$22,0)),"")</f>
        <v/>
      </c>
      <c r="D6" s="19">
        <f>ROUND(LARGE(CALCULATIONS!$V$2:$V$22,ROW()-5),0)</f>
        <v/>
      </c>
    </row>
    <row r="7" ht="30" customHeight="1" s="53">
      <c r="B7" s="18">
        <f t="array" ref="B7">SUMPRODUCT((D$6:D$26&gt;D7)/COUNTIF(D$6:D$26,D$6:D$26))+1</f>
        <v/>
      </c>
      <c r="C7" s="9">
        <f>IFERROR(INDEX(CALCULATIONS!$K$2:$K$22,MATCH(LARGE(CALCULATIONS!$V$2:$V$22,ROW()-5),CALCULATIONS!$V$2:$V$22,0)),"")</f>
        <v/>
      </c>
      <c r="D7" s="19">
        <f>ROUND(LARGE(CALCULATIONS!$V$2:$V$22,ROW()-5),0)</f>
        <v/>
      </c>
    </row>
    <row r="8" ht="30" customHeight="1" s="53">
      <c r="B8" s="18">
        <f t="array" ref="B8">SUMPRODUCT((D$6:D$26&gt;D8)/COUNTIF(D$6:D$26,D$6:D$26))+1</f>
        <v/>
      </c>
      <c r="C8" s="9">
        <f>IFERROR(INDEX(CALCULATIONS!$K$2:$K$22,MATCH(LARGE(CALCULATIONS!$V$2:$V$22,ROW()-5),CALCULATIONS!$V$2:$V$22,0)),"")</f>
        <v/>
      </c>
      <c r="D8" s="19">
        <f>ROUND(LARGE(CALCULATIONS!$V$2:$V$22,ROW()-5),0)</f>
        <v/>
      </c>
    </row>
    <row r="9" ht="30" customHeight="1" s="53">
      <c r="B9" s="18">
        <f t="array" ref="B9">SUMPRODUCT((D$6:D$26&gt;D9)/COUNTIF(D$6:D$26,D$6:D$26))+1</f>
        <v/>
      </c>
      <c r="C9" s="9">
        <f>IFERROR(INDEX(CALCULATIONS!$K$2:$K$22,MATCH(LARGE(CALCULATIONS!$V$2:$V$22,ROW()-5),CALCULATIONS!$V$2:$V$22,0)),"")</f>
        <v/>
      </c>
      <c r="D9" s="19">
        <f>ROUND(LARGE(CALCULATIONS!$V$2:$V$22,ROW()-5),0)</f>
        <v/>
      </c>
    </row>
    <row r="10" ht="30" customHeight="1" s="53">
      <c r="B10" s="18">
        <f t="array" ref="B10">SUMPRODUCT((D$6:D$26&gt;D10)/COUNTIF(D$6:D$26,D$6:D$26))+1</f>
        <v/>
      </c>
      <c r="C10" s="9">
        <f>IFERROR(INDEX(CALCULATIONS!$K$2:$K$22,MATCH(LARGE(CALCULATIONS!$V$2:$V$22,ROW()-5),CALCULATIONS!$V$2:$V$22,0)),"")</f>
        <v/>
      </c>
      <c r="D10" s="19">
        <f>ROUND(LARGE(CALCULATIONS!$V$2:$V$22,ROW()-5),0)</f>
        <v/>
      </c>
    </row>
    <row r="11" ht="30" customHeight="1" s="53">
      <c r="B11" s="18">
        <f t="array" ref="B11">SUMPRODUCT((D$6:D$26&gt;D11)/COUNTIF(D$6:D$26,D$6:D$26))+1</f>
        <v/>
      </c>
      <c r="C11" s="9">
        <f>IFERROR(INDEX(CALCULATIONS!$K$2:$K$22,MATCH(LARGE(CALCULATIONS!$V$2:$V$22,ROW()-5),CALCULATIONS!$V$2:$V$22,0)),"")</f>
        <v/>
      </c>
      <c r="D11" s="19">
        <f>ROUND(LARGE(CALCULATIONS!$V$2:$V$22,ROW()-5),0)</f>
        <v/>
      </c>
    </row>
    <row r="12" ht="30" customHeight="1" s="53">
      <c r="B12" s="18">
        <f t="array" ref="B12">SUMPRODUCT((D$6:D$26&gt;D12)/COUNTIF(D$6:D$26,D$6:D$26))+1</f>
        <v/>
      </c>
      <c r="C12" s="9">
        <f>IFERROR(INDEX(CALCULATIONS!$K$2:$K$22,MATCH(LARGE(CALCULATIONS!$V$2:$V$22,ROW()-5),CALCULATIONS!$V$2:$V$22,0)),"")</f>
        <v/>
      </c>
      <c r="D12" s="19">
        <f>ROUND(LARGE(CALCULATIONS!$V$2:$V$22,ROW()-5),0)</f>
        <v/>
      </c>
    </row>
    <row r="13" ht="30" customHeight="1" s="53">
      <c r="B13" s="18">
        <f t="array" ref="B13">SUMPRODUCT((D$6:D$26&gt;D13)/COUNTIF(D$6:D$26,D$6:D$26))+1</f>
        <v/>
      </c>
      <c r="C13" s="9">
        <f>IFERROR(INDEX(CALCULATIONS!$K$2:$K$22,MATCH(LARGE(CALCULATIONS!$V$2:$V$22,ROW()-5),CALCULATIONS!$V$2:$V$22,0)),"")</f>
        <v/>
      </c>
      <c r="D13" s="19">
        <f>ROUND(LARGE(CALCULATIONS!$V$2:$V$22,ROW()-5),0)</f>
        <v/>
      </c>
    </row>
    <row r="14" ht="30" customHeight="1" s="53">
      <c r="B14" s="18">
        <f t="array" ref="B14">SUMPRODUCT((D$6:D$26&gt;D14)/COUNTIF(D$6:D$26,D$6:D$26))+1</f>
        <v/>
      </c>
      <c r="C14" s="9">
        <f>IFERROR(INDEX(CALCULATIONS!$K$2:$K$22,MATCH(LARGE(CALCULATIONS!$V$2:$V$22,ROW()-5),CALCULATIONS!$V$2:$V$22,0)),"")</f>
        <v/>
      </c>
      <c r="D14" s="19">
        <f>ROUND(LARGE(CALCULATIONS!$V$2:$V$22,ROW()-5),0)</f>
        <v/>
      </c>
    </row>
    <row r="15" ht="30" customHeight="1" s="53">
      <c r="B15" s="18">
        <f t="array" ref="B15">SUMPRODUCT((D$6:D$26&gt;D15)/COUNTIF(D$6:D$26,D$6:D$26))+1</f>
        <v/>
      </c>
      <c r="C15" s="9">
        <f>IFERROR(INDEX(CALCULATIONS!$K$2:$K$22,MATCH(LARGE(CALCULATIONS!$V$2:$V$22,ROW()-5),CALCULATIONS!$V$2:$V$22,0)),"")</f>
        <v/>
      </c>
      <c r="D15" s="19">
        <f>ROUND(LARGE(CALCULATIONS!$V$2:$V$22,ROW()-5),0)</f>
        <v/>
      </c>
    </row>
    <row r="16" ht="30" customHeight="1" s="53">
      <c r="B16" s="18">
        <f t="array" ref="B16">SUMPRODUCT((D$6:D$26&gt;D16)/COUNTIF(D$6:D$26,D$6:D$26))+1</f>
        <v/>
      </c>
      <c r="C16" s="9">
        <f>IFERROR(INDEX(CALCULATIONS!$K$2:$K$22,MATCH(LARGE(CALCULATIONS!$V$2:$V$22,ROW()-5),CALCULATIONS!$V$2:$V$22,0)),"")</f>
        <v/>
      </c>
      <c r="D16" s="19">
        <f>ROUND(LARGE(CALCULATIONS!$V$2:$V$22,ROW()-5),0)</f>
        <v/>
      </c>
    </row>
    <row r="17" ht="30" customHeight="1" s="53">
      <c r="B17" s="18">
        <f t="array" ref="B17">SUMPRODUCT((D$6:D$26&gt;D17)/COUNTIF(D$6:D$26,D$6:D$26))+1</f>
        <v/>
      </c>
      <c r="C17" s="9">
        <f>IFERROR(INDEX(CALCULATIONS!$K$2:$K$22,MATCH(LARGE(CALCULATIONS!$V$2:$V$22,ROW()-5),CALCULATIONS!$V$2:$V$22,0)),"")</f>
        <v/>
      </c>
      <c r="D17" s="19">
        <f>ROUND(LARGE(CALCULATIONS!$V$2:$V$22,ROW()-5),0)</f>
        <v/>
      </c>
    </row>
    <row r="18" ht="30" customHeight="1" s="53">
      <c r="B18" s="18">
        <f t="array" ref="B18">SUMPRODUCT((D$6:D$26&gt;D18)/COUNTIF(D$6:D$26,D$6:D$26))+1</f>
        <v/>
      </c>
      <c r="C18" s="9">
        <f>IFERROR(INDEX(CALCULATIONS!$K$2:$K$22,MATCH(LARGE(CALCULATIONS!$V$2:$V$22,ROW()-5),CALCULATIONS!$V$2:$V$22,0)),"")</f>
        <v/>
      </c>
      <c r="D18" s="19">
        <f>ROUND(LARGE(CALCULATIONS!$V$2:$V$22,ROW()-5),0)</f>
        <v/>
      </c>
    </row>
    <row r="19" ht="30" customHeight="1" s="53">
      <c r="B19" s="18">
        <f t="array" ref="B19">SUMPRODUCT((D$6:D$26&gt;D19)/COUNTIF(D$6:D$26,D$6:D$26))+1</f>
        <v/>
      </c>
      <c r="C19" s="9">
        <f>IFERROR(INDEX(CALCULATIONS!$K$2:$K$22,MATCH(LARGE(CALCULATIONS!$V$2:$V$22,ROW()-5),CALCULATIONS!$V$2:$V$22,0)),"")</f>
        <v/>
      </c>
      <c r="D19" s="19">
        <f>ROUND(LARGE(CALCULATIONS!$V$2:$V$22,ROW()-5),0)</f>
        <v/>
      </c>
    </row>
    <row r="20" ht="30" customHeight="1" s="53">
      <c r="B20" s="18">
        <f t="array" ref="B20">SUMPRODUCT((D$6:D$26&gt;D20)/COUNTIF(D$6:D$26,D$6:D$26))+1</f>
        <v/>
      </c>
      <c r="C20" s="9">
        <f>IFERROR(INDEX(CALCULATIONS!$K$2:$K$22,MATCH(LARGE(CALCULATIONS!$V$2:$V$22,ROW()-5),CALCULATIONS!$V$2:$V$22,0)),"")</f>
        <v/>
      </c>
      <c r="D20" s="19">
        <f>ROUND(LARGE(CALCULATIONS!$V$2:$V$22,ROW()-5),0)</f>
        <v/>
      </c>
    </row>
    <row r="21" ht="30" customHeight="1" s="53">
      <c r="B21" s="18">
        <f t="array" ref="B21">SUMPRODUCT((D$6:D$26&gt;D21)/COUNTIF(D$6:D$26,D$6:D$26))+1</f>
        <v/>
      </c>
      <c r="C21" s="9">
        <f>IFERROR(INDEX(CALCULATIONS!$K$2:$K$22,MATCH(LARGE(CALCULATIONS!$V$2:$V$22,ROW()-5),CALCULATIONS!$V$2:$V$22,0)),"")</f>
        <v/>
      </c>
      <c r="D21" s="19">
        <f>ROUND(LARGE(CALCULATIONS!$V$2:$V$22,ROW()-5),0)</f>
        <v/>
      </c>
    </row>
    <row r="22" ht="30" customHeight="1" s="53">
      <c r="B22" s="18">
        <f t="array" ref="B22">SUMPRODUCT((D$6:D$26&gt;D22)/COUNTIF(D$6:D$26,D$6:D$26))+1</f>
        <v/>
      </c>
      <c r="C22" s="9">
        <f>IFERROR(INDEX(CALCULATIONS!$K$2:$K$22,MATCH(LARGE(CALCULATIONS!$V$2:$V$22,ROW()-5),CALCULATIONS!$V$2:$V$22,0)),"")</f>
        <v/>
      </c>
      <c r="D22" s="19">
        <f>ROUND(LARGE(CALCULATIONS!$V$2:$V$22,ROW()-5),0)</f>
        <v/>
      </c>
    </row>
    <row r="23" ht="30" customHeight="1" s="53">
      <c r="B23" s="18">
        <f t="array" ref="B23">SUMPRODUCT((D$6:D$26&gt;D23)/COUNTIF(D$6:D$26,D$6:D$26))+1</f>
        <v/>
      </c>
      <c r="C23" s="9">
        <f>IFERROR(INDEX(CALCULATIONS!$K$2:$K$22,MATCH(LARGE(CALCULATIONS!$V$2:$V$22,ROW()-5),CALCULATIONS!$V$2:$V$22,0)),"")</f>
        <v/>
      </c>
      <c r="D23" s="19">
        <f>ROUND(LARGE(CALCULATIONS!$V$2:$V$22,ROW()-5),0)</f>
        <v/>
      </c>
    </row>
    <row r="24" ht="30" customHeight="1" s="53">
      <c r="B24" s="18">
        <f t="array" ref="B24">SUMPRODUCT((D$6:D$26&gt;D24)/COUNTIF(D$6:D$26,D$6:D$26))+1</f>
        <v/>
      </c>
      <c r="C24" s="9">
        <f>IFERROR(INDEX(CALCULATIONS!$K$2:$K$22,MATCH(LARGE(CALCULATIONS!$V$2:$V$22,ROW()-5),CALCULATIONS!$V$2:$V$22,0)),"")</f>
        <v/>
      </c>
      <c r="D24" s="19">
        <f>ROUND(LARGE(CALCULATIONS!$V$2:$V$22,ROW()-5),0)</f>
        <v/>
      </c>
    </row>
    <row r="25" ht="30" customHeight="1" s="53">
      <c r="B25" s="18">
        <f t="array" ref="B25">SUMPRODUCT((D$6:D$26&gt;D25)/COUNTIF(D$6:D$26,D$6:D$26))+1</f>
        <v/>
      </c>
      <c r="C25" s="9">
        <f>IFERROR(INDEX(CALCULATIONS!$K$2:$K$22,MATCH(LARGE(CALCULATIONS!$V$2:$V$22,ROW()-5),CALCULATIONS!$V$2:$V$22,0)),"")</f>
        <v/>
      </c>
      <c r="D25" s="19">
        <f>ROUND(LARGE(CALCULATIONS!$V$2:$V$22,ROW()-5),0)</f>
        <v/>
      </c>
    </row>
    <row r="26" ht="30" customHeight="1" s="53">
      <c r="B26" s="18">
        <f t="array" ref="B26">SUMPRODUCT((D$6:D$26&gt;D26)/COUNTIF(D$6:D$26,D$6:D$26))+1</f>
        <v/>
      </c>
      <c r="C26" s="9">
        <f>IFERROR(INDEX(CALCULATIONS!$K$2:$K$22,MATCH(LARGE(CALCULATIONS!$V$2:$V$22,ROW()-5),CALCULATIONS!$V$2:$V$22,0)),"")</f>
        <v/>
      </c>
      <c r="D26" s="19">
        <f>ROUND(LARGE(CALCULATIONS!$V$2:$V$22,ROW()-5),0)</f>
        <v/>
      </c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+JJl2jWY2dEEVPpOFBv7Zg==" formatRows="0" sort="1" spinCount="100000" hashValue="hBX7hgGIUDIkBbAGbeAXxCqKGEPwyMIMqNoydi+9YfUIxaZ2sjLnHIBijqTHgXv9gILeH/Ae27LLH++3E4eumw=="/>
  <mergeCells count="3">
    <mergeCell ref="B1:D1"/>
    <mergeCell ref="B2:D2"/>
    <mergeCell ref="B3:D3"/>
  </mergeCells>
  <conditionalFormatting sqref="B6:B26">
    <cfRule type="expression" priority="1" dxfId="65">
      <formula>$B6=1</formula>
    </cfRule>
    <cfRule type="expression" priority="2" dxfId="64">
      <formula>$B6=2</formula>
    </cfRule>
    <cfRule type="expression" priority="3" dxfId="63">
      <formula>$B6=3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D9488"/>
    <outlinePr summaryBelow="1" summaryRight="1"/>
    <pageSetUpPr/>
  </sheetPr>
  <dimension ref="B1:D28"/>
  <sheetViews>
    <sheetView showGridLines="0" topLeftCell="A7" zoomScale="90" workbookViewId="0">
      <selection activeCell="G11" sqref="G11"/>
    </sheetView>
  </sheetViews>
  <sheetFormatPr baseColWidth="8" defaultRowHeight="15"/>
  <cols>
    <col width="28.5703125" customWidth="1" style="53" min="1" max="1"/>
    <col width="12" customWidth="1" style="53" min="2" max="2"/>
    <col width="32" customWidth="1" style="53" min="3" max="3"/>
    <col width="18" customWidth="1" style="53" min="4" max="4"/>
  </cols>
  <sheetData>
    <row r="1" ht="51.95" customHeight="1" s="53">
      <c r="B1" s="38" t="inlineStr">
        <is>
          <t>GAMEWEEK LEADERBOARD</t>
        </is>
      </c>
    </row>
    <row r="2" ht="26.1" customHeight="1" s="53">
      <c r="B2" s="40" t="inlineStr">
        <is>
          <t>This gameweek only  •  Sorted by points</t>
        </is>
      </c>
    </row>
    <row r="3" ht="30" customHeight="1" s="53">
      <c r="B3" s="1" t="inlineStr">
        <is>
          <t>CURRENT GAMEWEEK:</t>
        </is>
      </c>
      <c r="C3" s="20">
        <f>HOME!C7</f>
        <v/>
      </c>
    </row>
    <row r="4" ht="9.949999999999999" customHeight="1" s="53"/>
    <row r="5" ht="38.1" customHeight="1" s="53">
      <c r="B5" s="51">
        <f>IF(MAX($D$8:$D$28)=0,"🏆  GW"&amp;$C$3&amp;" WINNER:  No results yet","🏆  GW"&amp;$C$3&amp;" WINNER:  "&amp;INDEX($C$8:$C$28,MATCH(MAX($D$8:$D$28),$D$8:$D$28,0))&amp;"  —  "&amp;MAX($D$8:$D$28)&amp;" pts")</f>
        <v/>
      </c>
      <c r="C5" s="54" t="n"/>
      <c r="D5" s="55" t="n"/>
    </row>
    <row r="6" ht="12" customHeight="1" s="53"/>
    <row r="7" ht="32.1" customHeight="1" s="53">
      <c r="B7" s="6" t="inlineStr">
        <is>
          <t>Rank</t>
        </is>
      </c>
      <c r="C7" s="6" t="inlineStr">
        <is>
          <t>Manager</t>
        </is>
      </c>
      <c r="D7" s="6" t="inlineStr">
        <is>
          <t>GW Points</t>
        </is>
      </c>
    </row>
    <row r="8" ht="30" customHeight="1" s="53">
      <c r="B8" s="18">
        <f t="array" ref="B8">SUMPRODUCT((D$8:D$28&gt;D8)/COUNTIF(D$8:D$28,D$8:D$28))+1</f>
        <v/>
      </c>
      <c r="C8" s="9">
        <f>IFERROR(INDEX(CALCULATIONS!$K$2:$K$22,MATCH(LARGE(CALCULATIONS!$V$2:$V$22,ROW()-7),CALCULATIONS!$V$2:$V$22,0)),"")</f>
        <v/>
      </c>
      <c r="D8" s="19">
        <f>ROUND(LARGE(CALCULATIONS!$V$2:$V$22,ROW()-7),0)</f>
        <v/>
      </c>
    </row>
    <row r="9" ht="30" customHeight="1" s="53">
      <c r="B9" s="18">
        <f t="array" ref="B9">SUMPRODUCT((D$8:D$28&gt;D9)/COUNTIF(D$8:D$28,D$8:D$28))+1</f>
        <v/>
      </c>
      <c r="C9" s="9">
        <f>IFERROR(INDEX(CALCULATIONS!$K$2:$K$22,MATCH(LARGE(CALCULATIONS!$V$2:$V$22,ROW()-7),CALCULATIONS!$V$2:$V$22,0)),"")</f>
        <v/>
      </c>
      <c r="D9" s="19">
        <f>ROUND(LARGE(CALCULATIONS!$V$2:$V$22,ROW()-7),0)</f>
        <v/>
      </c>
    </row>
    <row r="10" ht="30" customHeight="1" s="53">
      <c r="B10" s="18">
        <f t="array" ref="B10">SUMPRODUCT((D$8:D$28&gt;D10)/COUNTIF(D$8:D$28,D$8:D$28))+1</f>
        <v/>
      </c>
      <c r="C10" s="9">
        <f>IFERROR(INDEX(CALCULATIONS!$K$2:$K$22,MATCH(LARGE(CALCULATIONS!$V$2:$V$22,ROW()-7),CALCULATIONS!$V$2:$V$22,0)),"")</f>
        <v/>
      </c>
      <c r="D10" s="19">
        <f>ROUND(LARGE(CALCULATIONS!$V$2:$V$22,ROW()-7),0)</f>
        <v/>
      </c>
    </row>
    <row r="11" ht="30" customHeight="1" s="53">
      <c r="B11" s="18">
        <f t="array" ref="B11">SUMPRODUCT((D$8:D$28&gt;D11)/COUNTIF(D$8:D$28,D$8:D$28))+1</f>
        <v/>
      </c>
      <c r="C11" s="9">
        <f>IFERROR(INDEX(CALCULATIONS!$K$2:$K$22,MATCH(LARGE(CALCULATIONS!$V$2:$V$22,ROW()-7),CALCULATIONS!$V$2:$V$22,0)),"")</f>
        <v/>
      </c>
      <c r="D11" s="19">
        <f>ROUND(LARGE(CALCULATIONS!$V$2:$V$22,ROW()-7),0)</f>
        <v/>
      </c>
    </row>
    <row r="12" ht="30" customHeight="1" s="53">
      <c r="B12" s="18">
        <f t="array" ref="B12">SUMPRODUCT((D$8:D$28&gt;D12)/COUNTIF(D$8:D$28,D$8:D$28))+1</f>
        <v/>
      </c>
      <c r="C12" s="9">
        <f>IFERROR(INDEX(CALCULATIONS!$K$2:$K$22,MATCH(LARGE(CALCULATIONS!$V$2:$V$22,ROW()-7),CALCULATIONS!$V$2:$V$22,0)),"")</f>
        <v/>
      </c>
      <c r="D12" s="19">
        <f>ROUND(LARGE(CALCULATIONS!$V$2:$V$22,ROW()-7),0)</f>
        <v/>
      </c>
    </row>
    <row r="13" ht="30" customHeight="1" s="53">
      <c r="B13" s="18">
        <f t="array" ref="B13">SUMPRODUCT((D$8:D$28&gt;D13)/COUNTIF(D$8:D$28,D$8:D$28))+1</f>
        <v/>
      </c>
      <c r="C13" s="9">
        <f>IFERROR(INDEX(CALCULATIONS!$K$2:$K$22,MATCH(LARGE(CALCULATIONS!$V$2:$V$22,ROW()-7),CALCULATIONS!$V$2:$V$22,0)),"")</f>
        <v/>
      </c>
      <c r="D13" s="19">
        <f>ROUND(LARGE(CALCULATIONS!$V$2:$V$22,ROW()-7),0)</f>
        <v/>
      </c>
    </row>
    <row r="14" ht="30" customHeight="1" s="53">
      <c r="B14" s="18">
        <f t="array" ref="B14">SUMPRODUCT((D$8:D$28&gt;D14)/COUNTIF(D$8:D$28,D$8:D$28))+1</f>
        <v/>
      </c>
      <c r="C14" s="9">
        <f>IFERROR(INDEX(CALCULATIONS!$K$2:$K$22,MATCH(LARGE(CALCULATIONS!$V$2:$V$22,ROW()-7),CALCULATIONS!$V$2:$V$22,0)),"")</f>
        <v/>
      </c>
      <c r="D14" s="19">
        <f>ROUND(LARGE(CALCULATIONS!$V$2:$V$22,ROW()-7),0)</f>
        <v/>
      </c>
    </row>
    <row r="15" ht="30" customHeight="1" s="53">
      <c r="B15" s="18">
        <f t="array" ref="B15">SUMPRODUCT((D$8:D$28&gt;D15)/COUNTIF(D$8:D$28,D$8:D$28))+1</f>
        <v/>
      </c>
      <c r="C15" s="9">
        <f>IFERROR(INDEX(CALCULATIONS!$K$2:$K$22,MATCH(LARGE(CALCULATIONS!$V$2:$V$22,ROW()-7),CALCULATIONS!$V$2:$V$22,0)),"")</f>
        <v/>
      </c>
      <c r="D15" s="19">
        <f>ROUND(LARGE(CALCULATIONS!$V$2:$V$22,ROW()-7),0)</f>
        <v/>
      </c>
    </row>
    <row r="16" ht="30" customHeight="1" s="53">
      <c r="B16" s="18">
        <f t="array" ref="B16">SUMPRODUCT((D$8:D$28&gt;D16)/COUNTIF(D$8:D$28,D$8:D$28))+1</f>
        <v/>
      </c>
      <c r="C16" s="9">
        <f>IFERROR(INDEX(CALCULATIONS!$K$2:$K$22,MATCH(LARGE(CALCULATIONS!$V$2:$V$22,ROW()-7),CALCULATIONS!$V$2:$V$22,0)),"")</f>
        <v/>
      </c>
      <c r="D16" s="19">
        <f>ROUND(LARGE(CALCULATIONS!$V$2:$V$22,ROW()-7),0)</f>
        <v/>
      </c>
    </row>
    <row r="17" ht="30" customHeight="1" s="53">
      <c r="B17" s="18">
        <f t="array" ref="B17">SUMPRODUCT((D$8:D$28&gt;D17)/COUNTIF(D$8:D$28,D$8:D$28))+1</f>
        <v/>
      </c>
      <c r="C17" s="9">
        <f>IFERROR(INDEX(CALCULATIONS!$K$2:$K$22,MATCH(LARGE(CALCULATIONS!$V$2:$V$22,ROW()-7),CALCULATIONS!$V$2:$V$22,0)),"")</f>
        <v/>
      </c>
      <c r="D17" s="19">
        <f>ROUND(LARGE(CALCULATIONS!$V$2:$V$22,ROW()-7),0)</f>
        <v/>
      </c>
    </row>
    <row r="18" ht="30" customHeight="1" s="53">
      <c r="B18" s="18">
        <f t="array" ref="B18">SUMPRODUCT((D$8:D$28&gt;D18)/COUNTIF(D$8:D$28,D$8:D$28))+1</f>
        <v/>
      </c>
      <c r="C18" s="9">
        <f>IFERROR(INDEX(CALCULATIONS!$K$2:$K$22,MATCH(LARGE(CALCULATIONS!$V$2:$V$22,ROW()-7),CALCULATIONS!$V$2:$V$22,0)),"")</f>
        <v/>
      </c>
      <c r="D18" s="19">
        <f>ROUND(LARGE(CALCULATIONS!$V$2:$V$22,ROW()-7),0)</f>
        <v/>
      </c>
    </row>
    <row r="19" ht="30" customHeight="1" s="53">
      <c r="B19" s="18">
        <f t="array" ref="B19">SUMPRODUCT((D$8:D$28&gt;D19)/COUNTIF(D$8:D$28,D$8:D$28))+1</f>
        <v/>
      </c>
      <c r="C19" s="9">
        <f>IFERROR(INDEX(CALCULATIONS!$K$2:$K$22,MATCH(LARGE(CALCULATIONS!$V$2:$V$22,ROW()-7),CALCULATIONS!$V$2:$V$22,0)),"")</f>
        <v/>
      </c>
      <c r="D19" s="19">
        <f>ROUND(LARGE(CALCULATIONS!$V$2:$V$22,ROW()-7),0)</f>
        <v/>
      </c>
    </row>
    <row r="20" ht="30" customHeight="1" s="53">
      <c r="B20" s="18">
        <f t="array" ref="B20">SUMPRODUCT((D$8:D$28&gt;D20)/COUNTIF(D$8:D$28,D$8:D$28))+1</f>
        <v/>
      </c>
      <c r="C20" s="9">
        <f>IFERROR(INDEX(CALCULATIONS!$K$2:$K$22,MATCH(LARGE(CALCULATIONS!$V$2:$V$22,ROW()-7),CALCULATIONS!$V$2:$V$22,0)),"")</f>
        <v/>
      </c>
      <c r="D20" s="19">
        <f>ROUND(LARGE(CALCULATIONS!$V$2:$V$22,ROW()-7),0)</f>
        <v/>
      </c>
    </row>
    <row r="21" ht="30" customHeight="1" s="53">
      <c r="B21" s="18">
        <f t="array" ref="B21">SUMPRODUCT((D$8:D$28&gt;D21)/COUNTIF(D$8:D$28,D$8:D$28))+1</f>
        <v/>
      </c>
      <c r="C21" s="9">
        <f>IFERROR(INDEX(CALCULATIONS!$K$2:$K$22,MATCH(LARGE(CALCULATIONS!$V$2:$V$22,ROW()-7),CALCULATIONS!$V$2:$V$22,0)),"")</f>
        <v/>
      </c>
      <c r="D21" s="19">
        <f>ROUND(LARGE(CALCULATIONS!$V$2:$V$22,ROW()-7),0)</f>
        <v/>
      </c>
    </row>
    <row r="22" ht="30" customHeight="1" s="53">
      <c r="B22" s="18">
        <f t="array" ref="B22">SUMPRODUCT((D$8:D$28&gt;D22)/COUNTIF(D$8:D$28,D$8:D$28))+1</f>
        <v/>
      </c>
      <c r="C22" s="9">
        <f>IFERROR(INDEX(CALCULATIONS!$K$2:$K$22,MATCH(LARGE(CALCULATIONS!$V$2:$V$22,ROW()-7),CALCULATIONS!$V$2:$V$22,0)),"")</f>
        <v/>
      </c>
      <c r="D22" s="19">
        <f>ROUND(LARGE(CALCULATIONS!$V$2:$V$22,ROW()-7),0)</f>
        <v/>
      </c>
    </row>
    <row r="23" ht="30" customHeight="1" s="53">
      <c r="B23" s="18">
        <f t="array" ref="B23">SUMPRODUCT((D$8:D$28&gt;D23)/COUNTIF(D$8:D$28,D$8:D$28))+1</f>
        <v/>
      </c>
      <c r="C23" s="9">
        <f>IFERROR(INDEX(CALCULATIONS!$K$2:$K$22,MATCH(LARGE(CALCULATIONS!$V$2:$V$22,ROW()-7),CALCULATIONS!$V$2:$V$22,0)),"")</f>
        <v/>
      </c>
      <c r="D23" s="19">
        <f>ROUND(LARGE(CALCULATIONS!$V$2:$V$22,ROW()-7),0)</f>
        <v/>
      </c>
    </row>
    <row r="24" ht="30" customHeight="1" s="53">
      <c r="B24" s="18">
        <f t="array" ref="B24">SUMPRODUCT((D$8:D$28&gt;D24)/COUNTIF(D$8:D$28,D$8:D$28))+1</f>
        <v/>
      </c>
      <c r="C24" s="9">
        <f>IFERROR(INDEX(CALCULATIONS!$K$2:$K$22,MATCH(LARGE(CALCULATIONS!$V$2:$V$22,ROW()-7),CALCULATIONS!$V$2:$V$22,0)),"")</f>
        <v/>
      </c>
      <c r="D24" s="19">
        <f>ROUND(LARGE(CALCULATIONS!$V$2:$V$22,ROW()-7),0)</f>
        <v/>
      </c>
    </row>
    <row r="25" ht="30" customHeight="1" s="53">
      <c r="B25" s="18">
        <f t="array" ref="B25">SUMPRODUCT((D$8:D$28&gt;D25)/COUNTIF(D$8:D$28,D$8:D$28))+1</f>
        <v/>
      </c>
      <c r="C25" s="9">
        <f>IFERROR(INDEX(CALCULATIONS!$K$2:$K$22,MATCH(LARGE(CALCULATIONS!$V$2:$V$22,ROW()-7),CALCULATIONS!$V$2:$V$22,0)),"")</f>
        <v/>
      </c>
      <c r="D25" s="19">
        <f>ROUND(LARGE(CALCULATIONS!$V$2:$V$22,ROW()-7),0)</f>
        <v/>
      </c>
    </row>
    <row r="26" ht="30" customHeight="1" s="53">
      <c r="B26" s="18">
        <f t="array" ref="B26">SUMPRODUCT((D$8:D$28&gt;D26)/COUNTIF(D$8:D$28,D$8:D$28))+1</f>
        <v/>
      </c>
      <c r="C26" s="9">
        <f>IFERROR(INDEX(CALCULATIONS!$K$2:$K$22,MATCH(LARGE(CALCULATIONS!$V$2:$V$22,ROW()-7),CALCULATIONS!$V$2:$V$22,0)),"")</f>
        <v/>
      </c>
      <c r="D26" s="19">
        <f>ROUND(LARGE(CALCULATIONS!$V$2:$V$22,ROW()-7),0)</f>
        <v/>
      </c>
    </row>
    <row r="27" ht="30" customHeight="1" s="53">
      <c r="B27" s="18">
        <f t="array" ref="B27">SUMPRODUCT((D$8:D$28&gt;D27)/COUNTIF(D$8:D$28,D$8:D$28))+1</f>
        <v/>
      </c>
      <c r="C27" s="9">
        <f>IFERROR(INDEX(CALCULATIONS!$K$2:$K$22,MATCH(LARGE(CALCULATIONS!$V$2:$V$22,ROW()-7),CALCULATIONS!$V$2:$V$22,0)),"")</f>
        <v/>
      </c>
      <c r="D27" s="19">
        <f>ROUND(LARGE(CALCULATIONS!$V$2:$V$22,ROW()-7),0)</f>
        <v/>
      </c>
    </row>
    <row r="28" ht="30" customHeight="1" s="53">
      <c r="B28" s="18">
        <f t="array" ref="B28">SUMPRODUCT((D$8:D$28&gt;D28)/COUNTIF(D$8:D$28,D$8:D$28))+1</f>
        <v/>
      </c>
      <c r="C28" s="9">
        <f>IFERROR(INDEX(CALCULATIONS!$K$2:$K$22,MATCH(LARGE(CALCULATIONS!$V$2:$V$22,ROW()-7),CALCULATIONS!$V$2:$V$22,0)),"")</f>
        <v/>
      </c>
      <c r="D28" s="19">
        <f>ROUND(LARGE(CALCULATIONS!$V$2:$V$22,ROW()-7),0)</f>
        <v/>
      </c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tra+8xj19vNHAlk9Q2Jh3w==" formatRows="0" sort="1" spinCount="100000" hashValue="9Whk0JbxxIgj3CDTIeBtwOiFQNu5WF69gGF4jr/iadTYIpqLqwC89/DvTXOSAlQsA2JXLE0ZLr1pJ2hi+Kidng=="/>
  <mergeCells count="3">
    <mergeCell ref="B1:D1"/>
    <mergeCell ref="B5:D5"/>
    <mergeCell ref="B2:D2"/>
  </mergeCells>
  <conditionalFormatting sqref="B8:B28">
    <cfRule type="expression" priority="1" dxfId="65">
      <formula>$B8=1</formula>
    </cfRule>
    <cfRule type="expression" priority="2" dxfId="64">
      <formula>$B8=2</formula>
    </cfRule>
    <cfRule type="expression" priority="3" dxfId="63">
      <formula>$B8=3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EA580C"/>
    <outlinePr summaryBelow="1" summaryRight="1"/>
    <pageSetUpPr/>
  </sheetPr>
  <dimension ref="B1:W66"/>
  <sheetViews>
    <sheetView showGridLines="0" tabSelected="1" topLeftCell="A6" zoomScale="90" workbookViewId="0">
      <selection activeCell="G32" sqref="G32"/>
    </sheetView>
  </sheetViews>
  <sheetFormatPr baseColWidth="8" defaultRowHeight="15"/>
  <cols>
    <col width="4" customWidth="1" style="53" min="1" max="1"/>
    <col width="34" customWidth="1" style="53" min="2" max="2"/>
    <col width="16" customWidth="1" style="53" min="3" max="3"/>
    <col width="44" customWidth="1" style="53" min="4" max="4"/>
    <col width="14" customWidth="1" style="53" min="5" max="7"/>
  </cols>
  <sheetData>
    <row r="1" ht="51.95" customHeight="1" s="53">
      <c r="B1" s="38" t="inlineStr">
        <is>
          <t>SETTINGS — CONTROL PANEL</t>
        </is>
      </c>
    </row>
    <row r="2" ht="26.1" customHeight="1" s="53">
      <c r="B2" s="40" t="inlineStr">
        <is>
          <t>Change the numbers below to update the whole league. Only gold cells are editable.</t>
        </is>
      </c>
    </row>
    <row r="3" ht="32.1" customHeight="1" s="53">
      <c r="B3" s="39" t="inlineStr">
        <is>
          <t>GAME RULES</t>
        </is>
      </c>
    </row>
    <row r="4" ht="32.1" customHeight="1" s="53">
      <c r="B4" s="6" t="inlineStr">
        <is>
          <t>Setting</t>
        </is>
      </c>
      <c r="C4" s="6" t="inlineStr">
        <is>
          <t>Value</t>
        </is>
      </c>
      <c r="D4" s="6" t="inlineStr">
        <is>
          <t>Notes</t>
        </is>
      </c>
      <c r="E4" s="6" t="n"/>
    </row>
    <row r="5" ht="26.1" customHeight="1" s="53">
      <c r="B5" s="4" t="inlineStr">
        <is>
          <t>Baseline points (at avg)</t>
        </is>
      </c>
      <c r="C5" s="21" t="n">
        <v>5</v>
      </c>
      <c r="D5" s="22" t="inlineStr">
        <is>
          <t>Points for scoring exactly the class average</t>
        </is>
      </c>
    </row>
    <row r="6" ht="26.1" customHeight="1" s="53">
      <c r="B6" s="4" t="inlineStr">
        <is>
          <t>Dynamic step divisor</t>
        </is>
      </c>
      <c r="C6" s="21" t="n">
        <v>10</v>
      </c>
      <c r="D6" s="22" t="inlineStr">
        <is>
          <t>Class range (max−min) ÷ this = step size</t>
        </is>
      </c>
    </row>
    <row r="7" ht="26.1" customHeight="1" s="53">
      <c r="B7" s="4" t="inlineStr">
        <is>
          <t>Minimum points</t>
        </is>
      </c>
      <c r="C7" s="21" t="n">
        <v>0</v>
      </c>
      <c r="D7" s="22" t="inlineStr">
        <is>
          <t>Floor</t>
        </is>
      </c>
    </row>
    <row r="8" ht="26.1" customHeight="1" s="53">
      <c r="B8" s="4" t="inlineStr">
        <is>
          <t>Maximum points</t>
        </is>
      </c>
      <c r="C8" s="21" t="n">
        <v>10</v>
      </c>
      <c r="D8" s="22" t="inlineStr">
        <is>
          <t>Ceiling</t>
        </is>
      </c>
    </row>
    <row r="9" ht="26.1" customHeight="1" s="53">
      <c r="B9" s="4" t="inlineStr">
        <is>
          <t>Max weekly price change</t>
        </is>
      </c>
      <c r="C9" s="21" t="n">
        <v>0.5</v>
      </c>
      <c r="D9" s="22" t="inlineStr">
        <is>
          <t>Absolute cap per week (£m)</t>
        </is>
      </c>
    </row>
    <row r="10" ht="26.1" customHeight="1" s="53">
      <c r="B10" s="4" t="inlineStr">
        <is>
          <t>Tier multiplier (low)</t>
        </is>
      </c>
      <c r="C10" s="21" t="n">
        <v>1</v>
      </c>
      <c r="D10" s="22" t="inlineStr">
        <is>
          <t>£7.0–8.9m price band multiplier</t>
        </is>
      </c>
    </row>
    <row r="11" ht="26.1" customHeight="1" s="53">
      <c r="B11" s="4" t="inlineStr">
        <is>
          <t>Tier multiplier (mid)</t>
        </is>
      </c>
      <c r="C11" s="21" t="n">
        <v>0.75</v>
      </c>
      <c r="D11" s="22" t="inlineStr">
        <is>
          <t>£9.0–10.9m price band multiplier</t>
        </is>
      </c>
    </row>
    <row r="12" ht="26.1" customHeight="1" s="53">
      <c r="B12" s="4" t="inlineStr">
        <is>
          <t>Tier multiplier (high)</t>
        </is>
      </c>
      <c r="C12" s="21" t="n">
        <v>0.5</v>
      </c>
      <c r="D12" s="22" t="inlineStr">
        <is>
          <t>£11.0–13.0m price band multiplier</t>
        </is>
      </c>
    </row>
    <row r="13" ht="26.1" customHeight="1" s="53">
      <c r="B13" s="4" t="inlineStr">
        <is>
          <t>Price change step</t>
        </is>
      </c>
      <c r="C13" s="21" t="n">
        <v>0.1</v>
      </c>
      <c r="D13" s="22" t="inlineStr">
        <is>
          <t>Ladder increment (£m)</t>
        </is>
      </c>
    </row>
    <row r="14" ht="26.1" customHeight="1" s="53">
      <c r="B14" s="4" t="inlineStr">
        <is>
          <t>Minimum price</t>
        </is>
      </c>
      <c r="C14" s="21" t="n">
        <v>7</v>
      </c>
      <c r="D14" s="22" t="inlineStr">
        <is>
          <t>Floor (£m)</t>
        </is>
      </c>
    </row>
    <row r="15" ht="26.1" customHeight="1" s="53">
      <c r="B15" s="4" t="inlineStr">
        <is>
          <t>Maximum price</t>
        </is>
      </c>
      <c r="C15" s="21" t="n">
        <v>13</v>
      </c>
      <c r="D15" s="22" t="inlineStr">
        <is>
          <t>Ceiling (£m)</t>
        </is>
      </c>
    </row>
    <row r="16" ht="26.1" customHeight="1" s="53">
      <c r="B16" s="4" t="inlineStr">
        <is>
          <t>Price changes start at week</t>
        </is>
      </c>
      <c r="C16" s="21" t="n">
        <v>3</v>
      </c>
      <c r="D16" s="22" t="inlineStr">
        <is>
          <t>First week that price changes apply</t>
        </is>
      </c>
    </row>
    <row r="17" ht="26" customHeight="1" s="53">
      <c r="B17" s="79" t="inlineStr">
        <is>
          <t>Tests per gameweek</t>
        </is>
      </c>
      <c r="C17" s="71" t="n">
        <v>1</v>
      </c>
      <c r="D17" s="80" t="inlineStr">
        <is>
          <t>How many test columns count this week (1-5). Others are greyed out.</t>
        </is>
      </c>
    </row>
    <row r="20" ht="32.1" customHeight="1" s="53">
      <c r="B20" s="39" t="inlineStr">
        <is>
          <t>PLAYER PRICES</t>
        </is>
      </c>
    </row>
    <row r="21" ht="32.1" customHeight="1" s="53">
      <c r="B21" s="6" t="inlineStr">
        <is>
          <t>Player</t>
        </is>
      </c>
      <c r="C21" s="6" t="inlineStr">
        <is>
          <t>Base</t>
        </is>
      </c>
      <c r="D21" s="6" t="inlineStr">
        <is>
          <t>Cumulative</t>
        </is>
      </c>
      <c r="E21" s="6" t="inlineStr">
        <is>
          <t>Override</t>
        </is>
      </c>
      <c r="F21" s="6" t="inlineStr">
        <is>
          <t>Final</t>
        </is>
      </c>
    </row>
    <row r="22" ht="26.1" customHeight="1" s="53">
      <c r="B22" s="9" t="inlineStr">
        <is>
          <t>Lia Li</t>
        </is>
      </c>
      <c r="C22" s="81" t="n">
        <v>13</v>
      </c>
      <c r="D22" s="24">
        <f>SUM(J22:Z22)</f>
        <v/>
      </c>
      <c r="E22" s="82" t="n"/>
      <c r="F22" s="83">
        <f>IF(E22&lt;&gt;"",E22,MIN(SETTINGS!$C$15,MAX(SETTINGS!$C$14,C22+D22)))</f>
        <v/>
      </c>
    </row>
    <row r="23" ht="26.1" customHeight="1" s="53">
      <c r="B23" s="45" t="inlineStr">
        <is>
          <t>Sophie Barker</t>
        </is>
      </c>
      <c r="C23" s="84" t="n">
        <v>13</v>
      </c>
      <c r="D23" s="28">
        <f>SUM(J23:Z23)</f>
        <v/>
      </c>
      <c r="E23" s="82" t="n"/>
      <c r="F23" s="83">
        <f>IF(E23&lt;&gt;"",E23,MIN(SETTINGS!$C$15,MAX(SETTINGS!$C$14,C23+D23)))</f>
        <v/>
      </c>
    </row>
    <row r="24" ht="26.1" customHeight="1" s="53">
      <c r="B24" s="9" t="inlineStr">
        <is>
          <t>Chinedu Chile</t>
        </is>
      </c>
      <c r="C24" s="81" t="n">
        <v>11</v>
      </c>
      <c r="D24" s="24">
        <f>SUM(J24:Z24)</f>
        <v/>
      </c>
      <c r="E24" s="82" t="n"/>
      <c r="F24" s="83">
        <f>IF(E24&lt;&gt;"",E24,MIN(SETTINGS!$C$15,MAX(SETTINGS!$C$14,C24+D24)))</f>
        <v/>
      </c>
    </row>
    <row r="25" ht="26.1" customHeight="1" s="53">
      <c r="B25" s="45" t="inlineStr">
        <is>
          <t>Emily Warburton</t>
        </is>
      </c>
      <c r="C25" s="84" t="n">
        <v>11</v>
      </c>
      <c r="D25" s="28">
        <f>SUM(J25:Z25)</f>
        <v/>
      </c>
      <c r="E25" s="82" t="n"/>
      <c r="F25" s="83">
        <f>IF(E25&lt;&gt;"",E25,MIN(SETTINGS!$C$15,MAX(SETTINGS!$C$14,C25+D25)))</f>
        <v/>
      </c>
    </row>
    <row r="26" ht="26.1" customHeight="1" s="53">
      <c r="B26" s="9" t="inlineStr">
        <is>
          <t>Alyza Rai</t>
        </is>
      </c>
      <c r="C26" s="81" t="n">
        <v>10.5</v>
      </c>
      <c r="D26" s="24">
        <f>SUM(J26:Z26)</f>
        <v/>
      </c>
      <c r="E26" s="82" t="n"/>
      <c r="F26" s="83">
        <f>IF(E26&lt;&gt;"",E26,MIN(SETTINGS!$C$15,MAX(SETTINGS!$C$14,C26+D26)))</f>
        <v/>
      </c>
    </row>
    <row r="27" ht="26.1" customHeight="1" s="53">
      <c r="B27" s="45" t="inlineStr">
        <is>
          <t>David Wu</t>
        </is>
      </c>
      <c r="C27" s="84" t="n">
        <v>10.5</v>
      </c>
      <c r="D27" s="28">
        <f>SUM(J27:Z27)</f>
        <v/>
      </c>
      <c r="E27" s="82" t="n"/>
      <c r="F27" s="83">
        <f>IF(E27&lt;&gt;"",E27,MIN(SETTINGS!$C$15,MAX(SETTINGS!$C$14,C27+D27)))</f>
        <v/>
      </c>
    </row>
    <row r="28" ht="26.1" customHeight="1" s="53">
      <c r="B28" s="9" t="inlineStr">
        <is>
          <t>Joe Paige</t>
        </is>
      </c>
      <c r="C28" s="81" t="n">
        <v>10.5</v>
      </c>
      <c r="D28" s="24">
        <f>SUM(J28:Z28)</f>
        <v/>
      </c>
      <c r="E28" s="82" t="n"/>
      <c r="F28" s="83">
        <f>IF(E28&lt;&gt;"",E28,MIN(SETTINGS!$C$15,MAX(SETTINGS!$C$14,C28+D28)))</f>
        <v/>
      </c>
    </row>
    <row r="29" ht="26.1" customHeight="1" s="53">
      <c r="B29" s="45" t="inlineStr">
        <is>
          <t>Azlan Husain</t>
        </is>
      </c>
      <c r="C29" s="84" t="n">
        <v>10</v>
      </c>
      <c r="D29" s="28">
        <f>SUM(J29:Z29)</f>
        <v/>
      </c>
      <c r="E29" s="82" t="n"/>
      <c r="F29" s="83">
        <f>IF(E29&lt;&gt;"",E29,MIN(SETTINGS!$C$15,MAX(SETTINGS!$C$14,C29+D29)))</f>
        <v/>
      </c>
    </row>
    <row r="30" ht="26.1" customHeight="1" s="53">
      <c r="B30" s="9" t="inlineStr">
        <is>
          <t>Nina De Saram</t>
        </is>
      </c>
      <c r="C30" s="81" t="n">
        <v>10</v>
      </c>
      <c r="D30" s="24">
        <f>SUM(J30:Z30)</f>
        <v/>
      </c>
      <c r="E30" s="82" t="n"/>
      <c r="F30" s="83">
        <f>IF(E30&lt;&gt;"",E30,MIN(SETTINGS!$C$15,MAX(SETTINGS!$C$14,C30+D30)))</f>
        <v/>
      </c>
    </row>
    <row r="31" ht="26.1" customHeight="1" s="53">
      <c r="B31" s="45" t="inlineStr">
        <is>
          <t>Alexa Amesimeku</t>
        </is>
      </c>
      <c r="C31" s="84" t="n">
        <v>9.5</v>
      </c>
      <c r="D31" s="28">
        <f>SUM(J31:Z31)</f>
        <v/>
      </c>
      <c r="E31" s="82" t="n"/>
      <c r="F31" s="83">
        <f>IF(E31&lt;&gt;"",E31,MIN(SETTINGS!$C$15,MAX(SETTINGS!$C$14,C31+D31)))</f>
        <v/>
      </c>
    </row>
    <row r="32" ht="26.1" customHeight="1" s="53">
      <c r="B32" s="9" t="inlineStr">
        <is>
          <t>Daniel Liu</t>
        </is>
      </c>
      <c r="C32" s="81" t="n">
        <v>9.5</v>
      </c>
      <c r="D32" s="24">
        <f>SUM(J32:Z32)</f>
        <v/>
      </c>
      <c r="E32" s="82" t="n"/>
      <c r="F32" s="83">
        <f>IF(E32&lt;&gt;"",E32,MIN(SETTINGS!$C$15,MAX(SETTINGS!$C$14,C32+D32)))</f>
        <v/>
      </c>
    </row>
    <row r="33" ht="26.1" customHeight="1" s="53">
      <c r="B33" s="45" t="inlineStr">
        <is>
          <t>Rebecca Seymour</t>
        </is>
      </c>
      <c r="C33" s="84" t="n">
        <v>9.5</v>
      </c>
      <c r="D33" s="28">
        <f>SUM(J33:Z33)</f>
        <v/>
      </c>
      <c r="E33" s="82" t="n"/>
      <c r="F33" s="83">
        <f>IF(E33&lt;&gt;"",E33,MIN(SETTINGS!$C$15,MAX(SETTINGS!$C$14,C33+D33)))</f>
        <v/>
      </c>
    </row>
    <row r="34" ht="26.1" customHeight="1" s="53">
      <c r="B34" s="9" t="inlineStr">
        <is>
          <t>Edwin Mayers</t>
        </is>
      </c>
      <c r="C34" s="81" t="n">
        <v>9</v>
      </c>
      <c r="D34" s="24">
        <f>SUM(J34:Z34)</f>
        <v/>
      </c>
      <c r="E34" s="82" t="n"/>
      <c r="F34" s="83">
        <f>IF(E34&lt;&gt;"",E34,MIN(SETTINGS!$C$15,MAX(SETTINGS!$C$14,C34+D34)))</f>
        <v/>
      </c>
    </row>
    <row r="35" ht="26.1" customHeight="1" s="53">
      <c r="B35" s="45" t="inlineStr">
        <is>
          <t>Melody Zhaeentan</t>
        </is>
      </c>
      <c r="C35" s="84" t="n">
        <v>8.5</v>
      </c>
      <c r="D35" s="28">
        <f>SUM(J35:Z35)</f>
        <v/>
      </c>
      <c r="E35" s="82" t="n"/>
      <c r="F35" s="83">
        <f>IF(E35&lt;&gt;"",E35,MIN(SETTINGS!$C$15,MAX(SETTINGS!$C$14,C35+D35)))</f>
        <v/>
      </c>
    </row>
    <row r="36" ht="26.1" customHeight="1" s="53">
      <c r="B36" s="9" t="inlineStr">
        <is>
          <t>Esme Beston</t>
        </is>
      </c>
      <c r="C36" s="81" t="n">
        <v>8</v>
      </c>
      <c r="D36" s="24">
        <f>SUM(J36:Z36)</f>
        <v/>
      </c>
      <c r="E36" s="82" t="n"/>
      <c r="F36" s="83">
        <f>IF(E36&lt;&gt;"",E36,MIN(SETTINGS!$C$15,MAX(SETTINGS!$C$14,C36+D36)))</f>
        <v/>
      </c>
    </row>
    <row r="37" ht="26.1" customHeight="1" s="53">
      <c r="B37" s="45" t="inlineStr">
        <is>
          <t>Iona Smith</t>
        </is>
      </c>
      <c r="C37" s="84" t="n">
        <v>8</v>
      </c>
      <c r="D37" s="28">
        <f>SUM(J37:Z37)</f>
        <v/>
      </c>
      <c r="E37" s="82" t="n"/>
      <c r="F37" s="83">
        <f>IF(E37&lt;&gt;"",E37,MIN(SETTINGS!$C$15,MAX(SETTINGS!$C$14,C37+D37)))</f>
        <v/>
      </c>
    </row>
    <row r="38" ht="26.1" customHeight="1" s="53">
      <c r="B38" s="9" t="inlineStr">
        <is>
          <t>Oscar Day-Duran</t>
        </is>
      </c>
      <c r="C38" s="81" t="n">
        <v>8</v>
      </c>
      <c r="D38" s="24">
        <f>SUM(J38:Z38)</f>
        <v/>
      </c>
      <c r="E38" s="82" t="n"/>
      <c r="F38" s="83">
        <f>IF(E38&lt;&gt;"",E38,MIN(SETTINGS!$C$15,MAX(SETTINGS!$C$14,C38+D38)))</f>
        <v/>
      </c>
    </row>
    <row r="39" ht="26.1" customHeight="1" s="53">
      <c r="B39" s="45" t="inlineStr">
        <is>
          <t>Alfie Foley</t>
        </is>
      </c>
      <c r="C39" s="84" t="n">
        <v>7.5</v>
      </c>
      <c r="D39" s="28">
        <f>SUM(J39:Z39)</f>
        <v/>
      </c>
      <c r="E39" s="82" t="n"/>
      <c r="F39" s="83">
        <f>IF(E39&lt;&gt;"",E39,MIN(SETTINGS!$C$15,MAX(SETTINGS!$C$14,C39+D39)))</f>
        <v/>
      </c>
    </row>
    <row r="40" ht="26.1" customHeight="1" s="53">
      <c r="B40" s="9" t="inlineStr">
        <is>
          <t>Ava Swinfen</t>
        </is>
      </c>
      <c r="C40" s="81" t="n">
        <v>7</v>
      </c>
      <c r="D40" s="24">
        <f>SUM(J40:Z40)</f>
        <v/>
      </c>
      <c r="E40" s="82" t="n"/>
      <c r="F40" s="83">
        <f>IF(E40&lt;&gt;"",E40,MIN(SETTINGS!$C$15,MAX(SETTINGS!$C$14,C40+D40)))</f>
        <v/>
      </c>
    </row>
    <row r="41" ht="26.1" customHeight="1" s="53">
      <c r="B41" s="45" t="inlineStr">
        <is>
          <t>Rory Bowman</t>
        </is>
      </c>
      <c r="C41" s="84" t="n">
        <v>7</v>
      </c>
      <c r="D41" s="28">
        <f>SUM(J41:Z41)</f>
        <v/>
      </c>
      <c r="E41" s="82" t="n"/>
      <c r="F41" s="83">
        <f>IF(E41&lt;&gt;"",E41,MIN(SETTINGS!$C$15,MAX(SETTINGS!$C$14,C41+D41)))</f>
        <v/>
      </c>
    </row>
    <row r="42" ht="26.1" customHeight="1" s="53">
      <c r="B42" s="9" t="inlineStr">
        <is>
          <t>Xander Meijer</t>
        </is>
      </c>
      <c r="C42" s="81" t="n">
        <v>7</v>
      </c>
      <c r="D42" s="24">
        <f>SUM(J42:Z42)</f>
        <v/>
      </c>
      <c r="E42" s="82" t="n"/>
      <c r="F42" s="83">
        <f>IF(E42&lt;&gt;"",E42,MIN(SETTINGS!$C$15,MAX(SETTINGS!$C$14,C42+D42)))</f>
        <v/>
      </c>
    </row>
    <row r="44" ht="32.1" customHeight="1" s="53">
      <c r="B44" s="39" t="inlineStr">
        <is>
          <t>WEEKLY PRICE LOG (auto-written by advance script)</t>
        </is>
      </c>
    </row>
    <row r="45" ht="32.1" customHeight="1" s="53">
      <c r="B45" s="6" t="inlineStr">
        <is>
          <t>Player</t>
        </is>
      </c>
      <c r="C45" s="6" t="inlineStr">
        <is>
          <t>GW1</t>
        </is>
      </c>
      <c r="D45" s="6" t="inlineStr">
        <is>
          <t>GW2</t>
        </is>
      </c>
      <c r="E45" s="6" t="inlineStr">
        <is>
          <t>GW3</t>
        </is>
      </c>
      <c r="F45" s="6" t="inlineStr">
        <is>
          <t>GW4</t>
        </is>
      </c>
      <c r="G45" s="6" t="inlineStr">
        <is>
          <t>GW5</t>
        </is>
      </c>
      <c r="H45" s="6" t="inlineStr">
        <is>
          <t>GW6</t>
        </is>
      </c>
      <c r="I45" s="6" t="inlineStr">
        <is>
          <t>GW7</t>
        </is>
      </c>
      <c r="J45" s="6" t="inlineStr">
        <is>
          <t>GW8</t>
        </is>
      </c>
      <c r="K45" s="6" t="inlineStr">
        <is>
          <t>GW9</t>
        </is>
      </c>
      <c r="L45" s="6" t="inlineStr">
        <is>
          <t>GW10</t>
        </is>
      </c>
      <c r="M45" s="6" t="inlineStr">
        <is>
          <t>GW11</t>
        </is>
      </c>
      <c r="N45" s="6" t="inlineStr">
        <is>
          <t>GW12</t>
        </is>
      </c>
      <c r="O45" s="6" t="inlineStr">
        <is>
          <t>GW13</t>
        </is>
      </c>
      <c r="P45" s="6" t="inlineStr">
        <is>
          <t>GW14</t>
        </is>
      </c>
      <c r="Q45" s="6" t="inlineStr">
        <is>
          <t>GW15</t>
        </is>
      </c>
      <c r="R45" s="6" t="inlineStr">
        <is>
          <t>GW16</t>
        </is>
      </c>
      <c r="S45" s="6" t="inlineStr">
        <is>
          <t>GW17</t>
        </is>
      </c>
      <c r="T45" s="6" t="inlineStr">
        <is>
          <t>GW18</t>
        </is>
      </c>
      <c r="U45" s="6" t="inlineStr">
        <is>
          <t>GW19</t>
        </is>
      </c>
      <c r="V45" s="6" t="inlineStr">
        <is>
          <t>GW20</t>
        </is>
      </c>
    </row>
    <row r="46" ht="24" customHeight="1" s="53">
      <c r="B46" s="9" t="inlineStr">
        <is>
          <t>Lia Li</t>
        </is>
      </c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</row>
    <row r="47" ht="24" customHeight="1" s="53">
      <c r="B47" s="45" t="inlineStr">
        <is>
          <t>Sophie Barker</t>
        </is>
      </c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  <c r="P47" s="30" t="n"/>
      <c r="Q47" s="30" t="n"/>
      <c r="R47" s="30" t="n"/>
      <c r="S47" s="30" t="n"/>
      <c r="T47" s="30" t="n"/>
      <c r="U47" s="30" t="n"/>
      <c r="V47" s="30" t="n"/>
    </row>
    <row r="48" ht="24" customHeight="1" s="53">
      <c r="B48" s="9" t="inlineStr">
        <is>
          <t>Chinedu Chile</t>
        </is>
      </c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</row>
    <row r="49" ht="24" customHeight="1" s="53">
      <c r="B49" s="45" t="inlineStr">
        <is>
          <t>Emily Warburton</t>
        </is>
      </c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  <c r="O49" s="30" t="n"/>
      <c r="P49" s="30" t="n"/>
      <c r="Q49" s="30" t="n"/>
      <c r="R49" s="30" t="n"/>
      <c r="S49" s="30" t="n"/>
      <c r="T49" s="30" t="n"/>
      <c r="U49" s="30" t="n"/>
      <c r="V49" s="30" t="n"/>
    </row>
    <row r="50" ht="24" customHeight="1" s="53">
      <c r="B50" s="9" t="inlineStr">
        <is>
          <t>Alyza Rai</t>
        </is>
      </c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</row>
    <row r="51" ht="24" customHeight="1" s="53">
      <c r="B51" s="45" t="inlineStr">
        <is>
          <t>David Wu</t>
        </is>
      </c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  <c r="O51" s="30" t="n"/>
      <c r="P51" s="30" t="n"/>
      <c r="Q51" s="30" t="n"/>
      <c r="R51" s="30" t="n"/>
      <c r="S51" s="30" t="n"/>
      <c r="T51" s="30" t="n"/>
      <c r="U51" s="30" t="n"/>
      <c r="V51" s="30" t="n"/>
    </row>
    <row r="52" ht="24" customHeight="1" s="53">
      <c r="B52" s="9" t="inlineStr">
        <is>
          <t>Joe Paige</t>
        </is>
      </c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</row>
    <row r="53" ht="24" customHeight="1" s="53">
      <c r="B53" s="45" t="inlineStr">
        <is>
          <t>Azlan Husain</t>
        </is>
      </c>
      <c r="C53" s="30" t="n"/>
      <c r="D53" s="30" t="n"/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  <c r="O53" s="30" t="n"/>
      <c r="P53" s="30" t="n"/>
      <c r="Q53" s="30" t="n"/>
      <c r="R53" s="30" t="n"/>
      <c r="S53" s="30" t="n"/>
      <c r="T53" s="30" t="n"/>
      <c r="U53" s="30" t="n"/>
      <c r="V53" s="30" t="n"/>
    </row>
    <row r="54" ht="24" customHeight="1" s="53">
      <c r="B54" s="9" t="inlineStr">
        <is>
          <t>Nina De Saram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</row>
    <row r="55" ht="24" customHeight="1" s="53">
      <c r="B55" s="45" t="inlineStr">
        <is>
          <t>Alexa Amesimeku</t>
        </is>
      </c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  <c r="O55" s="30" t="n"/>
      <c r="P55" s="30" t="n"/>
      <c r="Q55" s="30" t="n"/>
      <c r="R55" s="30" t="n"/>
      <c r="S55" s="30" t="n"/>
      <c r="T55" s="30" t="n"/>
      <c r="U55" s="30" t="n"/>
      <c r="V55" s="30" t="n"/>
    </row>
    <row r="56" ht="24" customHeight="1" s="53">
      <c r="B56" s="9" t="inlineStr">
        <is>
          <t>Daniel Liu</t>
        </is>
      </c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</row>
    <row r="57" ht="24" customHeight="1" s="53">
      <c r="B57" s="45" t="inlineStr">
        <is>
          <t>Rebecca Seymour</t>
        </is>
      </c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  <c r="L57" s="30" t="n"/>
      <c r="M57" s="30" t="n"/>
      <c r="N57" s="30" t="n"/>
      <c r="O57" s="30" t="n"/>
      <c r="P57" s="30" t="n"/>
      <c r="Q57" s="30" t="n"/>
      <c r="R57" s="30" t="n"/>
      <c r="S57" s="30" t="n"/>
      <c r="T57" s="30" t="n"/>
      <c r="U57" s="30" t="n"/>
      <c r="V57" s="30" t="n"/>
    </row>
    <row r="58" ht="24" customHeight="1" s="53">
      <c r="B58" s="9" t="inlineStr">
        <is>
          <t>Edwin Mayers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</row>
    <row r="59" ht="24" customHeight="1" s="53">
      <c r="B59" s="45" t="inlineStr">
        <is>
          <t>Melody Zhaeentan</t>
        </is>
      </c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  <c r="L59" s="30" t="n"/>
      <c r="M59" s="30" t="n"/>
      <c r="N59" s="30" t="n"/>
      <c r="O59" s="30" t="n"/>
      <c r="P59" s="30" t="n"/>
      <c r="Q59" s="30" t="n"/>
      <c r="R59" s="30" t="n"/>
      <c r="S59" s="30" t="n"/>
      <c r="T59" s="30" t="n"/>
      <c r="U59" s="30" t="n"/>
      <c r="V59" s="30" t="n"/>
    </row>
    <row r="60" ht="24" customHeight="1" s="53">
      <c r="B60" s="9" t="inlineStr">
        <is>
          <t>Esme Beston</t>
        </is>
      </c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</row>
    <row r="61" ht="24" customHeight="1" s="53">
      <c r="B61" s="45" t="inlineStr">
        <is>
          <t>Iona Smith</t>
        </is>
      </c>
      <c r="C61" s="30" t="n"/>
      <c r="D61" s="30" t="n"/>
      <c r="E61" s="30" t="n"/>
      <c r="F61" s="30" t="n"/>
      <c r="G61" s="30" t="n"/>
      <c r="H61" s="30" t="n"/>
      <c r="I61" s="30" t="n"/>
      <c r="J61" s="30" t="n"/>
      <c r="K61" s="30" t="n"/>
      <c r="L61" s="30" t="n"/>
      <c r="M61" s="30" t="n"/>
      <c r="N61" s="30" t="n"/>
      <c r="O61" s="30" t="n"/>
      <c r="P61" s="30" t="n"/>
      <c r="Q61" s="30" t="n"/>
      <c r="R61" s="30" t="n"/>
      <c r="S61" s="30" t="n"/>
      <c r="T61" s="30" t="n"/>
      <c r="U61" s="30" t="n"/>
      <c r="V61" s="30" t="n"/>
    </row>
    <row r="62" ht="24" customHeight="1" s="53">
      <c r="B62" s="9" t="inlineStr">
        <is>
          <t>Oscar Day-Duran</t>
        </is>
      </c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</row>
    <row r="63" ht="24" customHeight="1" s="53">
      <c r="B63" s="45" t="inlineStr">
        <is>
          <t>Alfie Foley</t>
        </is>
      </c>
      <c r="C63" s="30" t="n"/>
      <c r="D63" s="30" t="n"/>
      <c r="E63" s="30" t="n"/>
      <c r="F63" s="30" t="n"/>
      <c r="G63" s="30" t="n"/>
      <c r="H63" s="30" t="n"/>
      <c r="I63" s="30" t="n"/>
      <c r="J63" s="30" t="n"/>
      <c r="K63" s="30" t="n"/>
      <c r="L63" s="30" t="n"/>
      <c r="M63" s="30" t="n"/>
      <c r="N63" s="30" t="n"/>
      <c r="O63" s="30" t="n"/>
      <c r="P63" s="30" t="n"/>
      <c r="Q63" s="30" t="n"/>
      <c r="R63" s="30" t="n"/>
      <c r="S63" s="30" t="n"/>
      <c r="T63" s="30" t="n"/>
      <c r="U63" s="30" t="n"/>
      <c r="V63" s="30" t="n"/>
    </row>
    <row r="64" ht="24" customHeight="1" s="53">
      <c r="B64" s="9" t="inlineStr">
        <is>
          <t>Ava Swinfen</t>
        </is>
      </c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</row>
    <row r="65" ht="24" customHeight="1" s="53">
      <c r="B65" s="45" t="inlineStr">
        <is>
          <t>Rory Bowman</t>
        </is>
      </c>
      <c r="C65" s="30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0" t="n"/>
      <c r="M65" s="30" t="n"/>
      <c r="N65" s="30" t="n"/>
      <c r="O65" s="30" t="n"/>
      <c r="P65" s="30" t="n"/>
      <c r="Q65" s="30" t="n"/>
      <c r="R65" s="30" t="n"/>
      <c r="S65" s="30" t="n"/>
      <c r="T65" s="30" t="n"/>
      <c r="U65" s="30" t="n"/>
      <c r="V65" s="30" t="n"/>
    </row>
    <row r="66" ht="24" customHeight="1" s="53">
      <c r="B66" s="9" t="inlineStr">
        <is>
          <t>Xander Meijer</t>
        </is>
      </c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 password="90E3"/>
  <mergeCells count="5">
    <mergeCell ref="B1:E1"/>
    <mergeCell ref="B20:F20"/>
    <mergeCell ref="B3:E3"/>
    <mergeCell ref="B2:E2"/>
    <mergeCell ref="B44:W4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94A3B8"/>
    <outlinePr summaryBelow="1" summaryRight="1"/>
    <pageSetUpPr/>
  </sheetPr>
  <dimension ref="B1:H22"/>
  <sheetViews>
    <sheetView zoomScale="90" workbookViewId="0">
      <selection activeCell="A1" sqref="A1"/>
    </sheetView>
  </sheetViews>
  <sheetFormatPr baseColWidth="8" defaultRowHeight="15"/>
  <sheetData>
    <row r="1" ht="32.1" customHeight="1" s="53">
      <c r="B1" s="6" t="inlineStr">
        <is>
          <t>Manager</t>
        </is>
      </c>
      <c r="C1" s="6" t="inlineStr">
        <is>
          <t>P1</t>
        </is>
      </c>
      <c r="D1" s="6" t="inlineStr">
        <is>
          <t>P2</t>
        </is>
      </c>
      <c r="E1" s="6" t="inlineStr">
        <is>
          <t>P3</t>
        </is>
      </c>
      <c r="F1" s="6" t="inlineStr">
        <is>
          <t>P4</t>
        </is>
      </c>
      <c r="G1" s="6" t="inlineStr">
        <is>
          <t>P5</t>
        </is>
      </c>
      <c r="H1" s="6" t="inlineStr">
        <is>
          <t>Captain</t>
        </is>
      </c>
    </row>
    <row r="2" ht="26.1" customHeight="1" s="53">
      <c r="B2" s="31" t="inlineStr">
        <is>
          <t>Alexa Amesimeku</t>
        </is>
      </c>
      <c r="C2" s="9">
        <f>'Alexa Amesimeku'!C10</f>
        <v/>
      </c>
      <c r="D2" s="9">
        <f>'Alexa Amesimeku'!C11</f>
        <v/>
      </c>
      <c r="E2" s="9">
        <f>'Alexa Amesimeku'!C12</f>
        <v/>
      </c>
      <c r="F2" s="9">
        <f>'Alexa Amesimeku'!C13</f>
        <v/>
      </c>
      <c r="G2" s="9">
        <f>'Alexa Amesimeku'!C14</f>
        <v/>
      </c>
      <c r="H2" s="9">
        <f>'Alexa Amesimeku'!C5</f>
        <v/>
      </c>
    </row>
    <row r="3" ht="26.1" customHeight="1" s="53">
      <c r="B3" s="31" t="inlineStr">
        <is>
          <t>Alfie Foley</t>
        </is>
      </c>
      <c r="C3" s="45">
        <f>'Alfie Foley'!C10</f>
        <v/>
      </c>
      <c r="D3" s="45">
        <f>'Alfie Foley'!C11</f>
        <v/>
      </c>
      <c r="E3" s="45">
        <f>'Alfie Foley'!C12</f>
        <v/>
      </c>
      <c r="F3" s="45">
        <f>'Alfie Foley'!C13</f>
        <v/>
      </c>
      <c r="G3" s="45">
        <f>'Alfie Foley'!C14</f>
        <v/>
      </c>
      <c r="H3" s="45">
        <f>'Alfie Foley'!C5</f>
        <v/>
      </c>
    </row>
    <row r="4" ht="26.1" customHeight="1" s="53">
      <c r="B4" s="31" t="inlineStr">
        <is>
          <t>Alyza Rai</t>
        </is>
      </c>
      <c r="C4" s="9">
        <f>'Alyza Rai'!C10</f>
        <v/>
      </c>
      <c r="D4" s="9">
        <f>'Alyza Rai'!C11</f>
        <v/>
      </c>
      <c r="E4" s="9">
        <f>'Alyza Rai'!C12</f>
        <v/>
      </c>
      <c r="F4" s="9">
        <f>'Alyza Rai'!C13</f>
        <v/>
      </c>
      <c r="G4" s="9">
        <f>'Alyza Rai'!C14</f>
        <v/>
      </c>
      <c r="H4" s="9">
        <f>'Alyza Rai'!C5</f>
        <v/>
      </c>
    </row>
    <row r="5" ht="26.1" customHeight="1" s="53">
      <c r="B5" s="31" t="inlineStr">
        <is>
          <t>Ava Swinfen</t>
        </is>
      </c>
      <c r="C5" s="45">
        <f>'Ava Swinfen'!C10</f>
        <v/>
      </c>
      <c r="D5" s="45">
        <f>'Ava Swinfen'!C11</f>
        <v/>
      </c>
      <c r="E5" s="45">
        <f>'Ava Swinfen'!C12</f>
        <v/>
      </c>
      <c r="F5" s="45">
        <f>'Ava Swinfen'!C13</f>
        <v/>
      </c>
      <c r="G5" s="45">
        <f>'Ava Swinfen'!C14</f>
        <v/>
      </c>
      <c r="H5" s="45">
        <f>'Ava Swinfen'!C5</f>
        <v/>
      </c>
    </row>
    <row r="6" ht="26.1" customHeight="1" s="53">
      <c r="B6" s="31" t="inlineStr">
        <is>
          <t>Azlan Husain</t>
        </is>
      </c>
      <c r="C6" s="9">
        <f>'Azlan Husain'!C10</f>
        <v/>
      </c>
      <c r="D6" s="9">
        <f>'Azlan Husain'!C11</f>
        <v/>
      </c>
      <c r="E6" s="9">
        <f>'Azlan Husain'!C12</f>
        <v/>
      </c>
      <c r="F6" s="9">
        <f>'Azlan Husain'!C13</f>
        <v/>
      </c>
      <c r="G6" s="9">
        <f>'Azlan Husain'!C14</f>
        <v/>
      </c>
      <c r="H6" s="9">
        <f>'Azlan Husain'!C5</f>
        <v/>
      </c>
    </row>
    <row r="7" ht="26.1" customHeight="1" s="53">
      <c r="B7" s="31" t="inlineStr">
        <is>
          <t>Chinedu Chile</t>
        </is>
      </c>
      <c r="C7" s="45">
        <f>'Chinedu Chile'!C10</f>
        <v/>
      </c>
      <c r="D7" s="45">
        <f>'Chinedu Chile'!C11</f>
        <v/>
      </c>
      <c r="E7" s="45">
        <f>'Chinedu Chile'!C12</f>
        <v/>
      </c>
      <c r="F7" s="45">
        <f>'Chinedu Chile'!C13</f>
        <v/>
      </c>
      <c r="G7" s="45">
        <f>'Chinedu Chile'!C14</f>
        <v/>
      </c>
      <c r="H7" s="45">
        <f>'Chinedu Chile'!C5</f>
        <v/>
      </c>
    </row>
    <row r="8" ht="26.1" customHeight="1" s="53">
      <c r="B8" s="31" t="inlineStr">
        <is>
          <t>Daniel Liu</t>
        </is>
      </c>
      <c r="C8" s="9">
        <f>'Daniel Liu'!C10</f>
        <v/>
      </c>
      <c r="D8" s="9">
        <f>'Daniel Liu'!C11</f>
        <v/>
      </c>
      <c r="E8" s="9">
        <f>'Daniel Liu'!C12</f>
        <v/>
      </c>
      <c r="F8" s="9">
        <f>'Daniel Liu'!C13</f>
        <v/>
      </c>
      <c r="G8" s="9">
        <f>'Daniel Liu'!C14</f>
        <v/>
      </c>
      <c r="H8" s="9">
        <f>'Daniel Liu'!C5</f>
        <v/>
      </c>
    </row>
    <row r="9" ht="26.1" customHeight="1" s="53">
      <c r="B9" s="31" t="inlineStr">
        <is>
          <t>David Wu</t>
        </is>
      </c>
      <c r="C9" s="45">
        <f>'David Wu'!C10</f>
        <v/>
      </c>
      <c r="D9" s="45">
        <f>'David Wu'!C11</f>
        <v/>
      </c>
      <c r="E9" s="45">
        <f>'David Wu'!C12</f>
        <v/>
      </c>
      <c r="F9" s="45">
        <f>'David Wu'!C13</f>
        <v/>
      </c>
      <c r="G9" s="45">
        <f>'David Wu'!C14</f>
        <v/>
      </c>
      <c r="H9" s="45">
        <f>'David Wu'!C5</f>
        <v/>
      </c>
    </row>
    <row r="10" ht="26.1" customHeight="1" s="53">
      <c r="B10" s="31" t="inlineStr">
        <is>
          <t>Edwin Mayers</t>
        </is>
      </c>
      <c r="C10" s="9">
        <f>'Edwin Mayers'!C10</f>
        <v/>
      </c>
      <c r="D10" s="9">
        <f>'Edwin Mayers'!C11</f>
        <v/>
      </c>
      <c r="E10" s="9">
        <f>'Edwin Mayers'!C12</f>
        <v/>
      </c>
      <c r="F10" s="9">
        <f>'Edwin Mayers'!C13</f>
        <v/>
      </c>
      <c r="G10" s="9">
        <f>'Edwin Mayers'!C14</f>
        <v/>
      </c>
      <c r="H10" s="9">
        <f>'Edwin Mayers'!C5</f>
        <v/>
      </c>
    </row>
    <row r="11" ht="26.1" customHeight="1" s="53">
      <c r="B11" s="31" t="inlineStr">
        <is>
          <t>Emily Warburton</t>
        </is>
      </c>
      <c r="C11" s="45">
        <f>'Emily Warburton'!C10</f>
        <v/>
      </c>
      <c r="D11" s="45">
        <f>'Emily Warburton'!C11</f>
        <v/>
      </c>
      <c r="E11" s="45">
        <f>'Emily Warburton'!C12</f>
        <v/>
      </c>
      <c r="F11" s="45">
        <f>'Emily Warburton'!C13</f>
        <v/>
      </c>
      <c r="G11" s="45">
        <f>'Emily Warburton'!C14</f>
        <v/>
      </c>
      <c r="H11" s="45">
        <f>'Emily Warburton'!C5</f>
        <v/>
      </c>
    </row>
    <row r="12" ht="26.1" customHeight="1" s="53">
      <c r="B12" s="31" t="inlineStr">
        <is>
          <t>Esme Beston</t>
        </is>
      </c>
      <c r="C12" s="9">
        <f>'Esme Beston'!C10</f>
        <v/>
      </c>
      <c r="D12" s="9">
        <f>'Esme Beston'!C11</f>
        <v/>
      </c>
      <c r="E12" s="9">
        <f>'Esme Beston'!C12</f>
        <v/>
      </c>
      <c r="F12" s="9">
        <f>'Esme Beston'!C13</f>
        <v/>
      </c>
      <c r="G12" s="9">
        <f>'Esme Beston'!C14</f>
        <v/>
      </c>
      <c r="H12" s="9">
        <f>'Esme Beston'!C5</f>
        <v/>
      </c>
    </row>
    <row r="13" ht="26.1" customHeight="1" s="53">
      <c r="B13" s="31" t="inlineStr">
        <is>
          <t>Iona Smith</t>
        </is>
      </c>
      <c r="C13" s="45">
        <f>'Iona Smith'!C10</f>
        <v/>
      </c>
      <c r="D13" s="45">
        <f>'Iona Smith'!C11</f>
        <v/>
      </c>
      <c r="E13" s="45">
        <f>'Iona Smith'!C12</f>
        <v/>
      </c>
      <c r="F13" s="45">
        <f>'Iona Smith'!C13</f>
        <v/>
      </c>
      <c r="G13" s="45">
        <f>'Iona Smith'!C14</f>
        <v/>
      </c>
      <c r="H13" s="45">
        <f>'Iona Smith'!C5</f>
        <v/>
      </c>
    </row>
    <row r="14" ht="26.1" customHeight="1" s="53">
      <c r="B14" s="31" t="inlineStr">
        <is>
          <t>Joe Paige</t>
        </is>
      </c>
      <c r="C14" s="9">
        <f>'Joe Paige'!C10</f>
        <v/>
      </c>
      <c r="D14" s="9">
        <f>'Joe Paige'!C11</f>
        <v/>
      </c>
      <c r="E14" s="9">
        <f>'Joe Paige'!C12</f>
        <v/>
      </c>
      <c r="F14" s="9">
        <f>'Joe Paige'!C13</f>
        <v/>
      </c>
      <c r="G14" s="9">
        <f>'Joe Paige'!C14</f>
        <v/>
      </c>
      <c r="H14" s="9">
        <f>'Joe Paige'!C5</f>
        <v/>
      </c>
    </row>
    <row r="15" ht="26.1" customHeight="1" s="53">
      <c r="B15" s="31" t="inlineStr">
        <is>
          <t>Lia Li</t>
        </is>
      </c>
      <c r="C15" s="45">
        <f>'Lia Li'!C10</f>
        <v/>
      </c>
      <c r="D15" s="45">
        <f>'Lia Li'!C11</f>
        <v/>
      </c>
      <c r="E15" s="45">
        <f>'Lia Li'!C12</f>
        <v/>
      </c>
      <c r="F15" s="45">
        <f>'Lia Li'!C13</f>
        <v/>
      </c>
      <c r="G15" s="45">
        <f>'Lia Li'!C14</f>
        <v/>
      </c>
      <c r="H15" s="45">
        <f>'Lia Li'!C5</f>
        <v/>
      </c>
    </row>
    <row r="16" ht="26.1" customHeight="1" s="53">
      <c r="B16" s="31" t="inlineStr">
        <is>
          <t>Melody Zhaeentan</t>
        </is>
      </c>
      <c r="C16" s="9">
        <f>'Melody Zhaeentan'!C10</f>
        <v/>
      </c>
      <c r="D16" s="9">
        <f>'Melody Zhaeentan'!C11</f>
        <v/>
      </c>
      <c r="E16" s="9">
        <f>'Melody Zhaeentan'!C12</f>
        <v/>
      </c>
      <c r="F16" s="9">
        <f>'Melody Zhaeentan'!C13</f>
        <v/>
      </c>
      <c r="G16" s="9">
        <f>'Melody Zhaeentan'!C14</f>
        <v/>
      </c>
      <c r="H16" s="9">
        <f>'Melody Zhaeentan'!C5</f>
        <v/>
      </c>
    </row>
    <row r="17" ht="26.1" customHeight="1" s="53">
      <c r="B17" s="31" t="inlineStr">
        <is>
          <t>Nina De Saram</t>
        </is>
      </c>
      <c r="C17" s="45">
        <f>'Nina De Saram'!C10</f>
        <v/>
      </c>
      <c r="D17" s="45">
        <f>'Nina De Saram'!C11</f>
        <v/>
      </c>
      <c r="E17" s="45">
        <f>'Nina De Saram'!C12</f>
        <v/>
      </c>
      <c r="F17" s="45">
        <f>'Nina De Saram'!C13</f>
        <v/>
      </c>
      <c r="G17" s="45">
        <f>'Nina De Saram'!C14</f>
        <v/>
      </c>
      <c r="H17" s="45">
        <f>'Nina De Saram'!C5</f>
        <v/>
      </c>
    </row>
    <row r="18" ht="26.1" customHeight="1" s="53">
      <c r="B18" s="31" t="inlineStr">
        <is>
          <t>Oscar Day-Duran</t>
        </is>
      </c>
      <c r="C18" s="9">
        <f>'Oscar Day-Duran'!C10</f>
        <v/>
      </c>
      <c r="D18" s="9">
        <f>'Oscar Day-Duran'!C11</f>
        <v/>
      </c>
      <c r="E18" s="9">
        <f>'Oscar Day-Duran'!C12</f>
        <v/>
      </c>
      <c r="F18" s="9">
        <f>'Oscar Day-Duran'!C13</f>
        <v/>
      </c>
      <c r="G18" s="9">
        <f>'Oscar Day-Duran'!C14</f>
        <v/>
      </c>
      <c r="H18" s="9">
        <f>'Oscar Day-Duran'!C5</f>
        <v/>
      </c>
    </row>
    <row r="19" ht="26.1" customHeight="1" s="53">
      <c r="B19" s="31" t="inlineStr">
        <is>
          <t>Rebecca Seymour</t>
        </is>
      </c>
      <c r="C19" s="45">
        <f>'Rebecca Seymour'!C10</f>
        <v/>
      </c>
      <c r="D19" s="45">
        <f>'Rebecca Seymour'!C11</f>
        <v/>
      </c>
      <c r="E19" s="45">
        <f>'Rebecca Seymour'!C12</f>
        <v/>
      </c>
      <c r="F19" s="45">
        <f>'Rebecca Seymour'!C13</f>
        <v/>
      </c>
      <c r="G19" s="45">
        <f>'Rebecca Seymour'!C14</f>
        <v/>
      </c>
      <c r="H19" s="45">
        <f>'Rebecca Seymour'!C5</f>
        <v/>
      </c>
    </row>
    <row r="20" ht="26.1" customHeight="1" s="53">
      <c r="B20" s="31" t="inlineStr">
        <is>
          <t>Rory Bowman</t>
        </is>
      </c>
      <c r="C20" s="9">
        <f>'Rory Bowman'!C10</f>
        <v/>
      </c>
      <c r="D20" s="9">
        <f>'Rory Bowman'!C11</f>
        <v/>
      </c>
      <c r="E20" s="9">
        <f>'Rory Bowman'!C12</f>
        <v/>
      </c>
      <c r="F20" s="9">
        <f>'Rory Bowman'!C13</f>
        <v/>
      </c>
      <c r="G20" s="9">
        <f>'Rory Bowman'!C14</f>
        <v/>
      </c>
      <c r="H20" s="9">
        <f>'Rory Bowman'!C5</f>
        <v/>
      </c>
    </row>
    <row r="21" ht="26.1" customHeight="1" s="53">
      <c r="B21" s="31" t="inlineStr">
        <is>
          <t>Sophie Barker</t>
        </is>
      </c>
      <c r="C21" s="45">
        <f>'Sophie Barker'!C10</f>
        <v/>
      </c>
      <c r="D21" s="45">
        <f>'Sophie Barker'!C11</f>
        <v/>
      </c>
      <c r="E21" s="45">
        <f>'Sophie Barker'!C12</f>
        <v/>
      </c>
      <c r="F21" s="45">
        <f>'Sophie Barker'!C13</f>
        <v/>
      </c>
      <c r="G21" s="45">
        <f>'Sophie Barker'!C14</f>
        <v/>
      </c>
      <c r="H21" s="45">
        <f>'Sophie Barker'!C5</f>
        <v/>
      </c>
    </row>
    <row r="22" ht="26.1" customHeight="1" s="53">
      <c r="B22" s="31" t="inlineStr">
        <is>
          <t>Xander Meijer</t>
        </is>
      </c>
      <c r="C22" s="9">
        <f>'Xander Meijer'!C10</f>
        <v/>
      </c>
      <c r="D22" s="9">
        <f>'Xander Meijer'!C11</f>
        <v/>
      </c>
      <c r="E22" s="9">
        <f>'Xander Meijer'!C12</f>
        <v/>
      </c>
      <c r="F22" s="9">
        <f>'Xander Meijer'!C13</f>
        <v/>
      </c>
      <c r="G22" s="9">
        <f>'Xander Meijer'!C14</f>
        <v/>
      </c>
      <c r="H22" s="9">
        <f>'Xander Meijer'!C5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 password="90E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94A3B8"/>
    <outlinePr summaryBelow="1" summaryRight="1"/>
    <pageSetUpPr/>
  </sheetPr>
  <dimension ref="B1:V22"/>
  <sheetViews>
    <sheetView zoomScale="90" workbookViewId="0">
      <selection activeCell="A1" sqref="A1"/>
    </sheetView>
  </sheetViews>
  <sheetFormatPr baseColWidth="8" defaultRowHeight="15"/>
  <sheetData>
    <row r="1" ht="32.1" customHeight="1" s="53">
      <c r="B1" s="6" t="inlineStr">
        <is>
          <t>Manager</t>
        </is>
      </c>
      <c r="C1" s="6" t="inlineStr">
        <is>
          <t>GW1</t>
        </is>
      </c>
      <c r="D1" s="6" t="inlineStr">
        <is>
          <t>GW2</t>
        </is>
      </c>
      <c r="E1" s="6" t="inlineStr">
        <is>
          <t>GW3</t>
        </is>
      </c>
      <c r="F1" s="6" t="inlineStr">
        <is>
          <t>GW4</t>
        </is>
      </c>
      <c r="G1" s="6" t="inlineStr">
        <is>
          <t>GW5</t>
        </is>
      </c>
      <c r="H1" s="6" t="inlineStr">
        <is>
          <t>GW6</t>
        </is>
      </c>
      <c r="I1" s="6" t="inlineStr">
        <is>
          <t>GW7</t>
        </is>
      </c>
      <c r="J1" s="6" t="inlineStr">
        <is>
          <t>GW8</t>
        </is>
      </c>
      <c r="K1" s="6" t="inlineStr">
        <is>
          <t>GW9</t>
        </is>
      </c>
      <c r="L1" s="6" t="inlineStr">
        <is>
          <t>GW10</t>
        </is>
      </c>
      <c r="M1" s="6" t="inlineStr">
        <is>
          <t>GW11</t>
        </is>
      </c>
      <c r="N1" s="6" t="inlineStr">
        <is>
          <t>GW12</t>
        </is>
      </c>
      <c r="O1" s="6" t="inlineStr">
        <is>
          <t>GW13</t>
        </is>
      </c>
      <c r="P1" s="6" t="inlineStr">
        <is>
          <t>GW14</t>
        </is>
      </c>
      <c r="Q1" s="6" t="inlineStr">
        <is>
          <t>GW15</t>
        </is>
      </c>
      <c r="R1" s="6" t="inlineStr">
        <is>
          <t>GW16</t>
        </is>
      </c>
      <c r="S1" s="6" t="inlineStr">
        <is>
          <t>GW17</t>
        </is>
      </c>
      <c r="T1" s="6" t="inlineStr">
        <is>
          <t>GW18</t>
        </is>
      </c>
      <c r="U1" s="6" t="inlineStr">
        <is>
          <t>GW19</t>
        </is>
      </c>
      <c r="V1" s="6" t="inlineStr">
        <is>
          <t>GW20</t>
        </is>
      </c>
    </row>
    <row r="2" ht="26.1" customHeight="1" s="53">
      <c r="B2" s="31" t="inlineStr">
        <is>
          <t>Alexa Amesimeku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  <c r="R2" s="32" t="n"/>
      <c r="S2" s="32" t="n"/>
      <c r="T2" s="32" t="n"/>
      <c r="U2" s="32" t="n"/>
      <c r="V2" s="32" t="n"/>
    </row>
    <row r="3" ht="26.1" customHeight="1" s="53">
      <c r="B3" s="31" t="inlineStr">
        <is>
          <t>Alfie Foley</t>
        </is>
      </c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</row>
    <row r="4" ht="26.1" customHeight="1" s="53">
      <c r="B4" s="31" t="inlineStr">
        <is>
          <t>Alyza Rai</t>
        </is>
      </c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</row>
    <row r="5" ht="26.1" customHeight="1" s="53">
      <c r="B5" s="31" t="inlineStr">
        <is>
          <t>Ava Swinfen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</row>
    <row r="6" ht="26.1" customHeight="1" s="53">
      <c r="B6" s="31" t="inlineStr">
        <is>
          <t>Azlan Husain</t>
        </is>
      </c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</row>
    <row r="7" ht="26.1" customHeight="1" s="53">
      <c r="B7" s="31" t="inlineStr">
        <is>
          <t>Chinedu Chile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</row>
    <row r="8" ht="26.1" customHeight="1" s="53">
      <c r="B8" s="31" t="inlineStr">
        <is>
          <t>Daniel Liu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</row>
    <row r="9" ht="26.1" customHeight="1" s="53">
      <c r="B9" s="31" t="inlineStr">
        <is>
          <t>David Wu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 ht="26.1" customHeight="1" s="53">
      <c r="B10" s="31" t="inlineStr">
        <is>
          <t>Edwin Mayers</t>
        </is>
      </c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</row>
    <row r="11" ht="26.1" customHeight="1" s="53">
      <c r="B11" s="31" t="inlineStr">
        <is>
          <t>Emily Warburton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 ht="26.1" customHeight="1" s="53">
      <c r="B12" s="31" t="inlineStr">
        <is>
          <t>Esme Beston</t>
        </is>
      </c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</row>
    <row r="13" ht="26.1" customHeight="1" s="53">
      <c r="B13" s="31" t="inlineStr">
        <is>
          <t>Iona Smith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 ht="26.1" customHeight="1" s="53">
      <c r="B14" s="31" t="inlineStr">
        <is>
          <t>Joe Paige</t>
        </is>
      </c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</row>
    <row r="15" ht="26.1" customHeight="1" s="53">
      <c r="B15" s="31" t="inlineStr">
        <is>
          <t>Lia Li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 ht="26.1" customHeight="1" s="53">
      <c r="B16" s="31" t="inlineStr">
        <is>
          <t>Melody Zhaeentan</t>
        </is>
      </c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</row>
    <row r="17" ht="26.1" customHeight="1" s="53">
      <c r="B17" s="31" t="inlineStr">
        <is>
          <t>Nina De Saram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 ht="26.1" customHeight="1" s="53">
      <c r="B18" s="31" t="inlineStr">
        <is>
          <t>Oscar Day-Duran</t>
        </is>
      </c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</row>
    <row r="19" ht="26.1" customHeight="1" s="53">
      <c r="B19" s="31" t="inlineStr">
        <is>
          <t>Rebecca Seymour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 ht="26.1" customHeight="1" s="53">
      <c r="B20" s="31" t="inlineStr">
        <is>
          <t>Rory Bowman</t>
        </is>
      </c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</row>
    <row r="21" ht="26.1" customHeight="1" s="53">
      <c r="B21" s="31" t="inlineStr">
        <is>
          <t>Sophie Barker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 ht="26.1" customHeight="1" s="53">
      <c r="B22" s="31" t="inlineStr">
        <is>
          <t>Xander Meijer</t>
        </is>
      </c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 password="90E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64748B"/>
    <outlinePr summaryBelow="1" summaryRight="1"/>
    <pageSetUpPr/>
  </sheetPr>
  <dimension ref="A1:V22"/>
  <sheetViews>
    <sheetView topLeftCell="G1" zoomScale="90" workbookViewId="0">
      <selection activeCell="V28" sqref="V28"/>
    </sheetView>
  </sheetViews>
  <sheetFormatPr baseColWidth="8" defaultRowHeight="15"/>
  <cols>
    <col width="26.7109375" customWidth="1" style="53" min="21" max="21"/>
    <col width="22.42578125" customWidth="1" style="53" min="22" max="22"/>
  </cols>
  <sheetData>
    <row r="1">
      <c r="A1" t="inlineStr">
        <is>
          <t>Player</t>
        </is>
      </c>
      <c r="B1" t="inlineStr">
        <is>
          <t>Base</t>
        </is>
      </c>
      <c r="C1" t="inlineStr">
        <is>
          <t>Current</t>
        </is>
      </c>
      <c r="D1" t="inlineStr">
        <is>
          <t>Pts</t>
        </is>
      </c>
      <c r="K1" t="inlineStr">
        <is>
          <t>Manager</t>
        </is>
      </c>
      <c r="L1" t="inlineStr">
        <is>
          <t>P1</t>
        </is>
      </c>
      <c r="M1" t="inlineStr">
        <is>
          <t>P2</t>
        </is>
      </c>
      <c r="N1" t="inlineStr">
        <is>
          <t>P3</t>
        </is>
      </c>
      <c r="O1" t="inlineStr">
        <is>
          <t>P4</t>
        </is>
      </c>
      <c r="P1" t="inlineStr">
        <is>
          <t>P5</t>
        </is>
      </c>
      <c r="Q1" t="inlineStr">
        <is>
          <t>Captain</t>
        </is>
      </c>
      <c r="R1" t="inlineStr">
        <is>
          <t>Team Value</t>
        </is>
      </c>
      <c r="S1" t="inlineStr">
        <is>
          <t>Budget Left</t>
        </is>
      </c>
      <c r="T1" t="inlineStr">
        <is>
          <t>GW Score</t>
        </is>
      </c>
      <c r="U1" t="inlineStr">
        <is>
          <t>Status</t>
        </is>
      </c>
      <c r="V1" t="inlineStr">
        <is>
          <t>Tiebreak</t>
        </is>
      </c>
    </row>
    <row r="2">
      <c r="A2" t="inlineStr">
        <is>
          <t>Lia Li</t>
        </is>
      </c>
      <c r="B2" t="n">
        <v>13</v>
      </c>
      <c r="C2">
        <f>SETTINGS!F22</f>
        <v/>
      </c>
      <c r="D2">
        <f>_xlfn.IFERROR(IF(INDEX('TEST RESULTS'!$H$6:$H$26,MATCH(A2,'TEST RESULTS'!$B$6:$B$26,0))="",0,MAX(SETTINGS!$C$7,MIN(SETTINGS!$C$8,SETTINGS!$C$5+ROUNDDOWN((INDEX('TEST RESULTS'!$H$6:$H$26,MATCH(A2,'TEST RESULTS'!$B$6:$B$26,0))-AVERAGE('TEST RESULTS'!$H$6:$H$26))/MAX((MAX('TEST RESULTS'!$H$6:$H$26)-MIN('TEST RESULTS'!$H$6:$H$26))/SETTINGS!$C$6,0.1),0)))),0)</f>
        <v/>
      </c>
      <c r="K2" t="inlineStr">
        <is>
          <t>Alexa Amesimeku</t>
        </is>
      </c>
      <c r="L2">
        <f>'Alexa Amesimeku'!C10</f>
        <v/>
      </c>
      <c r="M2">
        <f>'Alexa Amesimeku'!C11</f>
        <v/>
      </c>
      <c r="N2">
        <f>'Alexa Amesimeku'!C12</f>
        <v/>
      </c>
      <c r="O2">
        <f>'Alexa Amesimeku'!C13</f>
        <v/>
      </c>
      <c r="P2">
        <f>'Alexa Amesimeku'!C14</f>
        <v/>
      </c>
      <c r="Q2">
        <f>'Alexa Amesimeku'!C5</f>
        <v/>
      </c>
      <c r="R2">
        <f>'Alexa Amesimeku'!C17</f>
        <v/>
      </c>
      <c r="S2">
        <f>'Alexa Amesimeku'!C18</f>
        <v/>
      </c>
      <c r="T2">
        <f>IF($U2="VALID TEAM",SUMPRODUCT(SUMIF($A$2:$A$22,L2:P2,$D$2:$D$22))+SUMIF($A$2:$A$22,Q2,$D$2:$D$22),0)</f>
        <v/>
      </c>
      <c r="U2">
        <f>'Alexa Amesimeku'!C20</f>
        <v/>
      </c>
      <c r="V2">
        <f>T2+ROW()/10000</f>
        <v/>
      </c>
    </row>
    <row r="3">
      <c r="A3" t="inlineStr">
        <is>
          <t>Sophie Barker</t>
        </is>
      </c>
      <c r="B3" t="n">
        <v>13</v>
      </c>
      <c r="C3">
        <f>SETTINGS!F23</f>
        <v/>
      </c>
      <c r="D3">
        <f>_xlfn.IFERROR(IF(INDEX('TEST RESULTS'!$H$6:$H$26,MATCH(A3,'TEST RESULTS'!$B$6:$B$26,0))="",0,MAX(SETTINGS!$C$7,MIN(SETTINGS!$C$8,SETTINGS!$C$5+ROUNDDOWN((INDEX('TEST RESULTS'!$H$6:$H$26,MATCH(A3,'TEST RESULTS'!$B$6:$B$26,0))-AVERAGE('TEST RESULTS'!$H$6:$H$26))/MAX((MAX('TEST RESULTS'!$H$6:$H$26)-MIN('TEST RESULTS'!$H$6:$H$26))/SETTINGS!$C$6,0.1),0)))),0)</f>
        <v/>
      </c>
      <c r="K3" t="inlineStr">
        <is>
          <t>Alfie Foley</t>
        </is>
      </c>
      <c r="L3">
        <f>'Alfie Foley'!C10</f>
        <v/>
      </c>
      <c r="M3">
        <f>'Alfie Foley'!C11</f>
        <v/>
      </c>
      <c r="N3">
        <f>'Alfie Foley'!C12</f>
        <v/>
      </c>
      <c r="O3">
        <f>'Alfie Foley'!C13</f>
        <v/>
      </c>
      <c r="P3">
        <f>'Alfie Foley'!C14</f>
        <v/>
      </c>
      <c r="Q3">
        <f>'Alfie Foley'!C5</f>
        <v/>
      </c>
      <c r="R3">
        <f>'Alfie Foley'!C17</f>
        <v/>
      </c>
      <c r="S3">
        <f>'Alfie Foley'!C18</f>
        <v/>
      </c>
      <c r="T3">
        <f>IF($U3="VALID TEAM",SUMPRODUCT(SUMIF($A$2:$A$22,L3:P3,$D$2:$D$22))+SUMIF($A$2:$A$22,Q3,$D$2:$D$22),0)</f>
        <v/>
      </c>
      <c r="U3">
        <f>'Alfie Foley'!C20</f>
        <v/>
      </c>
      <c r="V3">
        <f>T3+ROW()/10000</f>
        <v/>
      </c>
    </row>
    <row r="4">
      <c r="A4" t="inlineStr">
        <is>
          <t>Chinedu Chile</t>
        </is>
      </c>
      <c r="B4" t="n">
        <v>11</v>
      </c>
      <c r="C4">
        <f>SETTINGS!F24</f>
        <v/>
      </c>
      <c r="D4">
        <f>_xlfn.IFERROR(IF(INDEX('TEST RESULTS'!$H$6:$H$26,MATCH(A4,'TEST RESULTS'!$B$6:$B$26,0))="",0,MAX(SETTINGS!$C$7,MIN(SETTINGS!$C$8,SETTINGS!$C$5+ROUNDDOWN((INDEX('TEST RESULTS'!$H$6:$H$26,MATCH(A4,'TEST RESULTS'!$B$6:$B$26,0))-AVERAGE('TEST RESULTS'!$H$6:$H$26))/MAX((MAX('TEST RESULTS'!$H$6:$H$26)-MIN('TEST RESULTS'!$H$6:$H$26))/SETTINGS!$C$6,0.1),0)))),0)</f>
        <v/>
      </c>
      <c r="K4" t="inlineStr">
        <is>
          <t>Alyza Rai</t>
        </is>
      </c>
      <c r="L4">
        <f>'Alyza Rai'!C10</f>
        <v/>
      </c>
      <c r="M4">
        <f>'Alyza Rai'!C11</f>
        <v/>
      </c>
      <c r="N4">
        <f>'Alyza Rai'!C12</f>
        <v/>
      </c>
      <c r="O4">
        <f>'Alyza Rai'!C13</f>
        <v/>
      </c>
      <c r="P4">
        <f>'Alyza Rai'!C14</f>
        <v/>
      </c>
      <c r="Q4">
        <f>'Alyza Rai'!C5</f>
        <v/>
      </c>
      <c r="R4">
        <f>'Alyza Rai'!C17</f>
        <v/>
      </c>
      <c r="S4">
        <f>'Alyza Rai'!C18</f>
        <v/>
      </c>
      <c r="T4">
        <f>IF($U4="VALID TEAM",SUMPRODUCT(SUMIF($A$2:$A$22,L4:P4,$D$2:$D$22))+SUMIF($A$2:$A$22,Q4,$D$2:$D$22),0)</f>
        <v/>
      </c>
      <c r="U4">
        <f>'Alyza Rai'!C20</f>
        <v/>
      </c>
      <c r="V4">
        <f>T4+ROW()/10000</f>
        <v/>
      </c>
    </row>
    <row r="5">
      <c r="A5" t="inlineStr">
        <is>
          <t>Emily Warburton</t>
        </is>
      </c>
      <c r="B5" t="n">
        <v>11</v>
      </c>
      <c r="C5">
        <f>SETTINGS!F25</f>
        <v/>
      </c>
      <c r="D5">
        <f>_xlfn.IFERROR(IF(INDEX('TEST RESULTS'!$H$6:$H$26,MATCH(A5,'TEST RESULTS'!$B$6:$B$26,0))="",0,MAX(SETTINGS!$C$7,MIN(SETTINGS!$C$8,SETTINGS!$C$5+ROUNDDOWN((INDEX('TEST RESULTS'!$H$6:$H$26,MATCH(A5,'TEST RESULTS'!$B$6:$B$26,0))-AVERAGE('TEST RESULTS'!$H$6:$H$26))/MAX((MAX('TEST RESULTS'!$H$6:$H$26)-MIN('TEST RESULTS'!$H$6:$H$26))/SETTINGS!$C$6,0.1),0)))),0)</f>
        <v/>
      </c>
      <c r="K5" t="inlineStr">
        <is>
          <t>Ava Swinfen</t>
        </is>
      </c>
      <c r="L5">
        <f>'Ava Swinfen'!C10</f>
        <v/>
      </c>
      <c r="M5">
        <f>'Ava Swinfen'!C11</f>
        <v/>
      </c>
      <c r="N5">
        <f>'Ava Swinfen'!C12</f>
        <v/>
      </c>
      <c r="O5">
        <f>'Ava Swinfen'!C13</f>
        <v/>
      </c>
      <c r="P5">
        <f>'Ava Swinfen'!C14</f>
        <v/>
      </c>
      <c r="Q5">
        <f>'Ava Swinfen'!C5</f>
        <v/>
      </c>
      <c r="R5">
        <f>'Ava Swinfen'!C17</f>
        <v/>
      </c>
      <c r="S5">
        <f>'Ava Swinfen'!C18</f>
        <v/>
      </c>
      <c r="T5">
        <f>IF($U5="VALID TEAM",SUMPRODUCT(SUMIF($A$2:$A$22,L5:P5,$D$2:$D$22))+SUMIF($A$2:$A$22,Q5,$D$2:$D$22),0)</f>
        <v/>
      </c>
      <c r="U5">
        <f>'Ava Swinfen'!C20</f>
        <v/>
      </c>
      <c r="V5">
        <f>T5+ROW()/10000</f>
        <v/>
      </c>
    </row>
    <row r="6">
      <c r="A6" t="inlineStr">
        <is>
          <t>Alyza Rai</t>
        </is>
      </c>
      <c r="B6" t="n">
        <v>10.5</v>
      </c>
      <c r="C6">
        <f>SETTINGS!F26</f>
        <v/>
      </c>
      <c r="D6">
        <f>_xlfn.IFERROR(IF(INDEX('TEST RESULTS'!$H$6:$H$26,MATCH(A6,'TEST RESULTS'!$B$6:$B$26,0))="",0,MAX(SETTINGS!$C$7,MIN(SETTINGS!$C$8,SETTINGS!$C$5+ROUNDDOWN((INDEX('TEST RESULTS'!$H$6:$H$26,MATCH(A6,'TEST RESULTS'!$B$6:$B$26,0))-AVERAGE('TEST RESULTS'!$H$6:$H$26))/MAX((MAX('TEST RESULTS'!$H$6:$H$26)-MIN('TEST RESULTS'!$H$6:$H$26))/SETTINGS!$C$6,0.1),0)))),0)</f>
        <v/>
      </c>
      <c r="K6" t="inlineStr">
        <is>
          <t>Azlan Husain</t>
        </is>
      </c>
      <c r="L6">
        <f>'Azlan Husain'!C10</f>
        <v/>
      </c>
      <c r="M6">
        <f>'Azlan Husain'!C11</f>
        <v/>
      </c>
      <c r="N6">
        <f>'Azlan Husain'!C12</f>
        <v/>
      </c>
      <c r="O6">
        <f>'Azlan Husain'!C13</f>
        <v/>
      </c>
      <c r="P6">
        <f>'Azlan Husain'!C14</f>
        <v/>
      </c>
      <c r="Q6">
        <f>'Azlan Husain'!C5</f>
        <v/>
      </c>
      <c r="R6">
        <f>'Azlan Husain'!C17</f>
        <v/>
      </c>
      <c r="S6">
        <f>'Azlan Husain'!C18</f>
        <v/>
      </c>
      <c r="T6">
        <f>IF($U6="VALID TEAM",SUMPRODUCT(SUMIF($A$2:$A$22,L6:P6,$D$2:$D$22))+SUMIF($A$2:$A$22,Q6,$D$2:$D$22),0)</f>
        <v/>
      </c>
      <c r="U6">
        <f>'Azlan Husain'!C20</f>
        <v/>
      </c>
      <c r="V6">
        <f>T6+ROW()/10000</f>
        <v/>
      </c>
    </row>
    <row r="7">
      <c r="A7" t="inlineStr">
        <is>
          <t>David Wu</t>
        </is>
      </c>
      <c r="B7" t="n">
        <v>10.5</v>
      </c>
      <c r="C7">
        <f>SETTINGS!F27</f>
        <v/>
      </c>
      <c r="D7">
        <f>_xlfn.IFERROR(IF(INDEX('TEST RESULTS'!$H$6:$H$26,MATCH(A7,'TEST RESULTS'!$B$6:$B$26,0))="",0,MAX(SETTINGS!$C$7,MIN(SETTINGS!$C$8,SETTINGS!$C$5+ROUNDDOWN((INDEX('TEST RESULTS'!$H$6:$H$26,MATCH(A7,'TEST RESULTS'!$B$6:$B$26,0))-AVERAGE('TEST RESULTS'!$H$6:$H$26))/MAX((MAX('TEST RESULTS'!$H$6:$H$26)-MIN('TEST RESULTS'!$H$6:$H$26))/SETTINGS!$C$6,0.1),0)))),0)</f>
        <v/>
      </c>
      <c r="K7" t="inlineStr">
        <is>
          <t>Chinedu Chile</t>
        </is>
      </c>
      <c r="L7">
        <f>'Chinedu Chile'!C10</f>
        <v/>
      </c>
      <c r="M7">
        <f>'Chinedu Chile'!C11</f>
        <v/>
      </c>
      <c r="N7">
        <f>'Chinedu Chile'!C12</f>
        <v/>
      </c>
      <c r="O7">
        <f>'Chinedu Chile'!C13</f>
        <v/>
      </c>
      <c r="P7">
        <f>'Chinedu Chile'!C14</f>
        <v/>
      </c>
      <c r="Q7">
        <f>'Chinedu Chile'!C5</f>
        <v/>
      </c>
      <c r="R7">
        <f>'Chinedu Chile'!C17</f>
        <v/>
      </c>
      <c r="S7">
        <f>'Chinedu Chile'!C18</f>
        <v/>
      </c>
      <c r="T7">
        <f>IF($U7="VALID TEAM",SUMPRODUCT(SUMIF($A$2:$A$22,L7:P7,$D$2:$D$22))+SUMIF($A$2:$A$22,Q7,$D$2:$D$22),0)</f>
        <v/>
      </c>
      <c r="U7">
        <f>'Chinedu Chile'!C20</f>
        <v/>
      </c>
      <c r="V7">
        <f>T7+ROW()/10000</f>
        <v/>
      </c>
    </row>
    <row r="8">
      <c r="A8" t="inlineStr">
        <is>
          <t>Joe Paige</t>
        </is>
      </c>
      <c r="B8" t="n">
        <v>10.5</v>
      </c>
      <c r="C8">
        <f>SETTINGS!F28</f>
        <v/>
      </c>
      <c r="D8">
        <f>_xlfn.IFERROR(IF(INDEX('TEST RESULTS'!$H$6:$H$26,MATCH(A8,'TEST RESULTS'!$B$6:$B$26,0))="",0,MAX(SETTINGS!$C$7,MIN(SETTINGS!$C$8,SETTINGS!$C$5+ROUNDDOWN((INDEX('TEST RESULTS'!$H$6:$H$26,MATCH(A8,'TEST RESULTS'!$B$6:$B$26,0))-AVERAGE('TEST RESULTS'!$H$6:$H$26))/MAX((MAX('TEST RESULTS'!$H$6:$H$26)-MIN('TEST RESULTS'!$H$6:$H$26))/SETTINGS!$C$6,0.1),0)))),0)</f>
        <v/>
      </c>
      <c r="K8" t="inlineStr">
        <is>
          <t>Daniel Liu</t>
        </is>
      </c>
      <c r="L8">
        <f>'Daniel Liu'!C10</f>
        <v/>
      </c>
      <c r="M8">
        <f>'Daniel Liu'!C11</f>
        <v/>
      </c>
      <c r="N8">
        <f>'Daniel Liu'!C12</f>
        <v/>
      </c>
      <c r="O8">
        <f>'Daniel Liu'!C13</f>
        <v/>
      </c>
      <c r="P8">
        <f>'Daniel Liu'!C14</f>
        <v/>
      </c>
      <c r="Q8">
        <f>'Daniel Liu'!C5</f>
        <v/>
      </c>
      <c r="R8">
        <f>'Daniel Liu'!C17</f>
        <v/>
      </c>
      <c r="S8">
        <f>'Daniel Liu'!C18</f>
        <v/>
      </c>
      <c r="T8">
        <f>IF($U8="VALID TEAM",SUMPRODUCT(SUMIF($A$2:$A$22,L8:P8,$D$2:$D$22))+SUMIF($A$2:$A$22,Q8,$D$2:$D$22),0)</f>
        <v/>
      </c>
      <c r="U8">
        <f>'Daniel Liu'!C20</f>
        <v/>
      </c>
      <c r="V8">
        <f>T8+ROW()/10000</f>
        <v/>
      </c>
    </row>
    <row r="9">
      <c r="A9" t="inlineStr">
        <is>
          <t>Azlan Husain</t>
        </is>
      </c>
      <c r="B9" t="n">
        <v>10</v>
      </c>
      <c r="C9">
        <f>SETTINGS!F29</f>
        <v/>
      </c>
      <c r="D9">
        <f>_xlfn.IFERROR(IF(INDEX('TEST RESULTS'!$H$6:$H$26,MATCH(A9,'TEST RESULTS'!$B$6:$B$26,0))="",0,MAX(SETTINGS!$C$7,MIN(SETTINGS!$C$8,SETTINGS!$C$5+ROUNDDOWN((INDEX('TEST RESULTS'!$H$6:$H$26,MATCH(A9,'TEST RESULTS'!$B$6:$B$26,0))-AVERAGE('TEST RESULTS'!$H$6:$H$26))/MAX((MAX('TEST RESULTS'!$H$6:$H$26)-MIN('TEST RESULTS'!$H$6:$H$26))/SETTINGS!$C$6,0.1),0)))),0)</f>
        <v/>
      </c>
      <c r="K9" t="inlineStr">
        <is>
          <t>David Wu</t>
        </is>
      </c>
      <c r="L9">
        <f>'David Wu'!C10</f>
        <v/>
      </c>
      <c r="M9">
        <f>'David Wu'!C11</f>
        <v/>
      </c>
      <c r="N9">
        <f>'David Wu'!C12</f>
        <v/>
      </c>
      <c r="O9">
        <f>'David Wu'!C13</f>
        <v/>
      </c>
      <c r="P9">
        <f>'David Wu'!C14</f>
        <v/>
      </c>
      <c r="Q9">
        <f>'David Wu'!C5</f>
        <v/>
      </c>
      <c r="R9">
        <f>'David Wu'!C17</f>
        <v/>
      </c>
      <c r="S9">
        <f>'David Wu'!C18</f>
        <v/>
      </c>
      <c r="T9">
        <f>IF($U9="VALID TEAM",SUMPRODUCT(SUMIF($A$2:$A$22,L9:P9,$D$2:$D$22))+SUMIF($A$2:$A$22,Q9,$D$2:$D$22),0)</f>
        <v/>
      </c>
      <c r="U9">
        <f>'David Wu'!C20</f>
        <v/>
      </c>
      <c r="V9">
        <f>T9+ROW()/10000</f>
        <v/>
      </c>
    </row>
    <row r="10">
      <c r="A10" t="inlineStr">
        <is>
          <t>Nina De Saram</t>
        </is>
      </c>
      <c r="B10" t="n">
        <v>10</v>
      </c>
      <c r="C10">
        <f>SETTINGS!F30</f>
        <v/>
      </c>
      <c r="D10">
        <f>_xlfn.IFERROR(IF(INDEX('TEST RESULTS'!$H$6:$H$26,MATCH(A10,'TEST RESULTS'!$B$6:$B$26,0))="",0,MAX(SETTINGS!$C$7,MIN(SETTINGS!$C$8,SETTINGS!$C$5+ROUNDDOWN((INDEX('TEST RESULTS'!$H$6:$H$26,MATCH(A10,'TEST RESULTS'!$B$6:$B$26,0))-AVERAGE('TEST RESULTS'!$H$6:$H$26))/MAX((MAX('TEST RESULTS'!$H$6:$H$26)-MIN('TEST RESULTS'!$H$6:$H$26))/SETTINGS!$C$6,0.1),0)))),0)</f>
        <v/>
      </c>
      <c r="K10" t="inlineStr">
        <is>
          <t>Edwin Mayers</t>
        </is>
      </c>
      <c r="L10">
        <f>'Edwin Mayers'!C10</f>
        <v/>
      </c>
      <c r="M10">
        <f>'Edwin Mayers'!C11</f>
        <v/>
      </c>
      <c r="N10">
        <f>'Edwin Mayers'!C12</f>
        <v/>
      </c>
      <c r="O10">
        <f>'Edwin Mayers'!C13</f>
        <v/>
      </c>
      <c r="P10">
        <f>'Edwin Mayers'!C14</f>
        <v/>
      </c>
      <c r="Q10">
        <f>'Edwin Mayers'!C5</f>
        <v/>
      </c>
      <c r="R10">
        <f>'Edwin Mayers'!C17</f>
        <v/>
      </c>
      <c r="S10">
        <f>'Edwin Mayers'!C18</f>
        <v/>
      </c>
      <c r="T10">
        <f>IF($U10="VALID TEAM",SUMPRODUCT(SUMIF($A$2:$A$22,L10:P10,$D$2:$D$22))+SUMIF($A$2:$A$22,Q10,$D$2:$D$22),0)</f>
        <v/>
      </c>
      <c r="U10">
        <f>'Edwin Mayers'!C20</f>
        <v/>
      </c>
      <c r="V10">
        <f>T10+ROW()/10000</f>
        <v/>
      </c>
    </row>
    <row r="11">
      <c r="A11" t="inlineStr">
        <is>
          <t>Alexa Amesimeku</t>
        </is>
      </c>
      <c r="B11" t="n">
        <v>9.5</v>
      </c>
      <c r="C11">
        <f>SETTINGS!F31</f>
        <v/>
      </c>
      <c r="D11">
        <f>_xlfn.IFERROR(IF(INDEX('TEST RESULTS'!$H$6:$H$26,MATCH(A11,'TEST RESULTS'!$B$6:$B$26,0))="",0,MAX(SETTINGS!$C$7,MIN(SETTINGS!$C$8,SETTINGS!$C$5+ROUNDDOWN((INDEX('TEST RESULTS'!$H$6:$H$26,MATCH(A11,'TEST RESULTS'!$B$6:$B$26,0))-AVERAGE('TEST RESULTS'!$H$6:$H$26))/MAX((MAX('TEST RESULTS'!$H$6:$H$26)-MIN('TEST RESULTS'!$H$6:$H$26))/SETTINGS!$C$6,0.1),0)))),0)</f>
        <v/>
      </c>
      <c r="K11" t="inlineStr">
        <is>
          <t>Emily Warburton</t>
        </is>
      </c>
      <c r="L11">
        <f>'Emily Warburton'!C10</f>
        <v/>
      </c>
      <c r="M11">
        <f>'Emily Warburton'!C11</f>
        <v/>
      </c>
      <c r="N11">
        <f>'Emily Warburton'!C12</f>
        <v/>
      </c>
      <c r="O11">
        <f>'Emily Warburton'!C13</f>
        <v/>
      </c>
      <c r="P11">
        <f>'Emily Warburton'!C14</f>
        <v/>
      </c>
      <c r="Q11">
        <f>'Emily Warburton'!C5</f>
        <v/>
      </c>
      <c r="R11">
        <f>'Emily Warburton'!C17</f>
        <v/>
      </c>
      <c r="S11">
        <f>'Emily Warburton'!C18</f>
        <v/>
      </c>
      <c r="T11">
        <f>IF($U11="VALID TEAM",SUMPRODUCT(SUMIF($A$2:$A$22,L11:P11,$D$2:$D$22))+SUMIF($A$2:$A$22,Q11,$D$2:$D$22),0)</f>
        <v/>
      </c>
      <c r="U11">
        <f>'Emily Warburton'!C20</f>
        <v/>
      </c>
      <c r="V11">
        <f>T11+ROW()/10000</f>
        <v/>
      </c>
    </row>
    <row r="12">
      <c r="A12" t="inlineStr">
        <is>
          <t>Daniel Liu</t>
        </is>
      </c>
      <c r="B12" t="n">
        <v>9.5</v>
      </c>
      <c r="C12">
        <f>SETTINGS!F32</f>
        <v/>
      </c>
      <c r="D12">
        <f>_xlfn.IFERROR(IF(INDEX('TEST RESULTS'!$H$6:$H$26,MATCH(A12,'TEST RESULTS'!$B$6:$B$26,0))="",0,MAX(SETTINGS!$C$7,MIN(SETTINGS!$C$8,SETTINGS!$C$5+ROUNDDOWN((INDEX('TEST RESULTS'!$H$6:$H$26,MATCH(A12,'TEST RESULTS'!$B$6:$B$26,0))-AVERAGE('TEST RESULTS'!$H$6:$H$26))/MAX((MAX('TEST RESULTS'!$H$6:$H$26)-MIN('TEST RESULTS'!$H$6:$H$26))/SETTINGS!$C$6,0.1),0)))),0)</f>
        <v/>
      </c>
      <c r="K12" t="inlineStr">
        <is>
          <t>Esme Beston</t>
        </is>
      </c>
      <c r="L12">
        <f>'Esme Beston'!C10</f>
        <v/>
      </c>
      <c r="M12">
        <f>'Esme Beston'!C11</f>
        <v/>
      </c>
      <c r="N12">
        <f>'Esme Beston'!C12</f>
        <v/>
      </c>
      <c r="O12">
        <f>'Esme Beston'!C13</f>
        <v/>
      </c>
      <c r="P12">
        <f>'Esme Beston'!C14</f>
        <v/>
      </c>
      <c r="Q12">
        <f>'Esme Beston'!C5</f>
        <v/>
      </c>
      <c r="R12">
        <f>'Esme Beston'!C17</f>
        <v/>
      </c>
      <c r="S12">
        <f>'Esme Beston'!C18</f>
        <v/>
      </c>
      <c r="T12">
        <f>IF($U12="VALID TEAM",SUMPRODUCT(SUMIF($A$2:$A$22,L12:P12,$D$2:$D$22))+SUMIF($A$2:$A$22,Q12,$D$2:$D$22),0)</f>
        <v/>
      </c>
      <c r="U12">
        <f>'Esme Beston'!C20</f>
        <v/>
      </c>
      <c r="V12">
        <f>T12+ROW()/10000</f>
        <v/>
      </c>
    </row>
    <row r="13">
      <c r="A13" t="inlineStr">
        <is>
          <t>Rebecca Seymour</t>
        </is>
      </c>
      <c r="B13" t="n">
        <v>9.5</v>
      </c>
      <c r="C13">
        <f>SETTINGS!F33</f>
        <v/>
      </c>
      <c r="D13">
        <f>_xlfn.IFERROR(IF(INDEX('TEST RESULTS'!$H$6:$H$26,MATCH(A13,'TEST RESULTS'!$B$6:$B$26,0))="",0,MAX(SETTINGS!$C$7,MIN(SETTINGS!$C$8,SETTINGS!$C$5+ROUNDDOWN((INDEX('TEST RESULTS'!$H$6:$H$26,MATCH(A13,'TEST RESULTS'!$B$6:$B$26,0))-AVERAGE('TEST RESULTS'!$H$6:$H$26))/MAX((MAX('TEST RESULTS'!$H$6:$H$26)-MIN('TEST RESULTS'!$H$6:$H$26))/SETTINGS!$C$6,0.1),0)))),0)</f>
        <v/>
      </c>
      <c r="K13" t="inlineStr">
        <is>
          <t>Iona Smith</t>
        </is>
      </c>
      <c r="L13">
        <f>'Iona Smith'!C10</f>
        <v/>
      </c>
      <c r="M13">
        <f>'Iona Smith'!C11</f>
        <v/>
      </c>
      <c r="N13">
        <f>'Iona Smith'!C12</f>
        <v/>
      </c>
      <c r="O13">
        <f>'Iona Smith'!C13</f>
        <v/>
      </c>
      <c r="P13">
        <f>'Iona Smith'!C14</f>
        <v/>
      </c>
      <c r="Q13">
        <f>'Iona Smith'!C5</f>
        <v/>
      </c>
      <c r="R13">
        <f>'Iona Smith'!C17</f>
        <v/>
      </c>
      <c r="S13">
        <f>'Iona Smith'!C18</f>
        <v/>
      </c>
      <c r="T13">
        <f>IF($U13="VALID TEAM",SUMPRODUCT(SUMIF($A$2:$A$22,L13:P13,$D$2:$D$22))+SUMIF($A$2:$A$22,Q13,$D$2:$D$22),0)</f>
        <v/>
      </c>
      <c r="U13">
        <f>'Iona Smith'!C20</f>
        <v/>
      </c>
      <c r="V13">
        <f>T13+ROW()/10000</f>
        <v/>
      </c>
    </row>
    <row r="14">
      <c r="A14" t="inlineStr">
        <is>
          <t>Edwin Mayers</t>
        </is>
      </c>
      <c r="B14" t="n">
        <v>9</v>
      </c>
      <c r="C14">
        <f>SETTINGS!F34</f>
        <v/>
      </c>
      <c r="D14">
        <f>_xlfn.IFERROR(IF(INDEX('TEST RESULTS'!$H$6:$H$26,MATCH(A14,'TEST RESULTS'!$B$6:$B$26,0))="",0,MAX(SETTINGS!$C$7,MIN(SETTINGS!$C$8,SETTINGS!$C$5+ROUNDDOWN((INDEX('TEST RESULTS'!$H$6:$H$26,MATCH(A14,'TEST RESULTS'!$B$6:$B$26,0))-AVERAGE('TEST RESULTS'!$H$6:$H$26))/MAX((MAX('TEST RESULTS'!$H$6:$H$26)-MIN('TEST RESULTS'!$H$6:$H$26))/SETTINGS!$C$6,0.1),0)))),0)</f>
        <v/>
      </c>
      <c r="K14" t="inlineStr">
        <is>
          <t>Joe Paige</t>
        </is>
      </c>
      <c r="L14">
        <f>'Joe Paige'!C10</f>
        <v/>
      </c>
      <c r="M14">
        <f>'Joe Paige'!C11</f>
        <v/>
      </c>
      <c r="N14">
        <f>'Joe Paige'!C12</f>
        <v/>
      </c>
      <c r="O14">
        <f>'Joe Paige'!C13</f>
        <v/>
      </c>
      <c r="P14">
        <f>'Joe Paige'!C14</f>
        <v/>
      </c>
      <c r="Q14">
        <f>'Joe Paige'!C5</f>
        <v/>
      </c>
      <c r="R14">
        <f>'Joe Paige'!C17</f>
        <v/>
      </c>
      <c r="S14">
        <f>'Joe Paige'!C18</f>
        <v/>
      </c>
      <c r="T14">
        <f>IF($U14="VALID TEAM",SUMPRODUCT(SUMIF($A$2:$A$22,L14:P14,$D$2:$D$22))+SUMIF($A$2:$A$22,Q14,$D$2:$D$22),0)</f>
        <v/>
      </c>
      <c r="U14">
        <f>'Joe Paige'!C20</f>
        <v/>
      </c>
      <c r="V14">
        <f>T14+ROW()/10000</f>
        <v/>
      </c>
    </row>
    <row r="15">
      <c r="A15" t="inlineStr">
        <is>
          <t>Melody Zhaeentan</t>
        </is>
      </c>
      <c r="B15" t="n">
        <v>8.5</v>
      </c>
      <c r="C15">
        <f>SETTINGS!F35</f>
        <v/>
      </c>
      <c r="D15">
        <f>_xlfn.IFERROR(IF(INDEX('TEST RESULTS'!$H$6:$H$26,MATCH(A15,'TEST RESULTS'!$B$6:$B$26,0))="",0,MAX(SETTINGS!$C$7,MIN(SETTINGS!$C$8,SETTINGS!$C$5+ROUNDDOWN((INDEX('TEST RESULTS'!$H$6:$H$26,MATCH(A15,'TEST RESULTS'!$B$6:$B$26,0))-AVERAGE('TEST RESULTS'!$H$6:$H$26))/MAX((MAX('TEST RESULTS'!$H$6:$H$26)-MIN('TEST RESULTS'!$H$6:$H$26))/SETTINGS!$C$6,0.1),0)))),0)</f>
        <v/>
      </c>
      <c r="K15" t="inlineStr">
        <is>
          <t>Lia Li</t>
        </is>
      </c>
      <c r="L15">
        <f>'Lia Li'!C10</f>
        <v/>
      </c>
      <c r="M15">
        <f>'Lia Li'!C11</f>
        <v/>
      </c>
      <c r="N15">
        <f>'Lia Li'!C12</f>
        <v/>
      </c>
      <c r="O15">
        <f>'Lia Li'!C13</f>
        <v/>
      </c>
      <c r="P15">
        <f>'Lia Li'!C14</f>
        <v/>
      </c>
      <c r="Q15">
        <f>'Lia Li'!C5</f>
        <v/>
      </c>
      <c r="R15">
        <f>'Lia Li'!C17</f>
        <v/>
      </c>
      <c r="S15">
        <f>'Lia Li'!C18</f>
        <v/>
      </c>
      <c r="T15">
        <f>IF($U15="VALID TEAM",SUMPRODUCT(SUMIF($A$2:$A$22,L15:P15,$D$2:$D$22))+SUMIF($A$2:$A$22,Q15,$D$2:$D$22),0)</f>
        <v/>
      </c>
      <c r="U15">
        <f>'Lia Li'!C20</f>
        <v/>
      </c>
      <c r="V15">
        <f>T15+ROW()/10000</f>
        <v/>
      </c>
    </row>
    <row r="16">
      <c r="A16" t="inlineStr">
        <is>
          <t>Esme Beston</t>
        </is>
      </c>
      <c r="B16" t="n">
        <v>8</v>
      </c>
      <c r="C16">
        <f>SETTINGS!F36</f>
        <v/>
      </c>
      <c r="D16">
        <f>_xlfn.IFERROR(IF(INDEX('TEST RESULTS'!$H$6:$H$26,MATCH(A16,'TEST RESULTS'!$B$6:$B$26,0))="",0,MAX(SETTINGS!$C$7,MIN(SETTINGS!$C$8,SETTINGS!$C$5+ROUNDDOWN((INDEX('TEST RESULTS'!$H$6:$H$26,MATCH(A16,'TEST RESULTS'!$B$6:$B$26,0))-AVERAGE('TEST RESULTS'!$H$6:$H$26))/MAX((MAX('TEST RESULTS'!$H$6:$H$26)-MIN('TEST RESULTS'!$H$6:$H$26))/SETTINGS!$C$6,0.1),0)))),0)</f>
        <v/>
      </c>
      <c r="K16" t="inlineStr">
        <is>
          <t>Melody Zhaeentan</t>
        </is>
      </c>
      <c r="L16">
        <f>'Melody Zhaeentan'!C10</f>
        <v/>
      </c>
      <c r="M16">
        <f>'Melody Zhaeentan'!C11</f>
        <v/>
      </c>
      <c r="N16">
        <f>'Melody Zhaeentan'!C12</f>
        <v/>
      </c>
      <c r="O16">
        <f>'Melody Zhaeentan'!C13</f>
        <v/>
      </c>
      <c r="P16">
        <f>'Melody Zhaeentan'!C14</f>
        <v/>
      </c>
      <c r="Q16">
        <f>'Melody Zhaeentan'!C5</f>
        <v/>
      </c>
      <c r="R16">
        <f>'Melody Zhaeentan'!C17</f>
        <v/>
      </c>
      <c r="S16">
        <f>'Melody Zhaeentan'!C18</f>
        <v/>
      </c>
      <c r="T16">
        <f>IF($U16="VALID TEAM",SUMPRODUCT(SUMIF($A$2:$A$22,L16:P16,$D$2:$D$22))+SUMIF($A$2:$A$22,Q16,$D$2:$D$22),0)</f>
        <v/>
      </c>
      <c r="U16">
        <f>'Melody Zhaeentan'!C20</f>
        <v/>
      </c>
      <c r="V16">
        <f>T16+ROW()/10000</f>
        <v/>
      </c>
    </row>
    <row r="17">
      <c r="A17" t="inlineStr">
        <is>
          <t>Iona Smith</t>
        </is>
      </c>
      <c r="B17" t="n">
        <v>8</v>
      </c>
      <c r="C17">
        <f>SETTINGS!F37</f>
        <v/>
      </c>
      <c r="D17">
        <f>_xlfn.IFERROR(IF(INDEX('TEST RESULTS'!$H$6:$H$26,MATCH(A17,'TEST RESULTS'!$B$6:$B$26,0))="",0,MAX(SETTINGS!$C$7,MIN(SETTINGS!$C$8,SETTINGS!$C$5+ROUNDDOWN((INDEX('TEST RESULTS'!$H$6:$H$26,MATCH(A17,'TEST RESULTS'!$B$6:$B$26,0))-AVERAGE('TEST RESULTS'!$H$6:$H$26))/MAX((MAX('TEST RESULTS'!$H$6:$H$26)-MIN('TEST RESULTS'!$H$6:$H$26))/SETTINGS!$C$6,0.1),0)))),0)</f>
        <v/>
      </c>
      <c r="K17" t="inlineStr">
        <is>
          <t>Nina De Saram</t>
        </is>
      </c>
      <c r="L17">
        <f>'Nina De Saram'!C10</f>
        <v/>
      </c>
      <c r="M17">
        <f>'Nina De Saram'!C11</f>
        <v/>
      </c>
      <c r="N17">
        <f>'Nina De Saram'!C12</f>
        <v/>
      </c>
      <c r="O17">
        <f>'Nina De Saram'!C13</f>
        <v/>
      </c>
      <c r="P17">
        <f>'Nina De Saram'!C14</f>
        <v/>
      </c>
      <c r="Q17">
        <f>'Nina De Saram'!C5</f>
        <v/>
      </c>
      <c r="R17">
        <f>'Nina De Saram'!C17</f>
        <v/>
      </c>
      <c r="S17">
        <f>'Nina De Saram'!C18</f>
        <v/>
      </c>
      <c r="T17">
        <f>IF($U17="VALID TEAM",SUMPRODUCT(SUMIF($A$2:$A$22,L17:P17,$D$2:$D$22))+SUMIF($A$2:$A$22,Q17,$D$2:$D$22),0)</f>
        <v/>
      </c>
      <c r="U17">
        <f>'Nina De Saram'!C20</f>
        <v/>
      </c>
      <c r="V17">
        <f>T17+ROW()/10000</f>
        <v/>
      </c>
    </row>
    <row r="18">
      <c r="A18" t="inlineStr">
        <is>
          <t>Oscar Day-Duran</t>
        </is>
      </c>
      <c r="B18" t="n">
        <v>8</v>
      </c>
      <c r="C18">
        <f>SETTINGS!F38</f>
        <v/>
      </c>
      <c r="D18">
        <f>_xlfn.IFERROR(IF(INDEX('TEST RESULTS'!$H$6:$H$26,MATCH(A18,'TEST RESULTS'!$B$6:$B$26,0))="",0,MAX(SETTINGS!$C$7,MIN(SETTINGS!$C$8,SETTINGS!$C$5+ROUNDDOWN((INDEX('TEST RESULTS'!$H$6:$H$26,MATCH(A18,'TEST RESULTS'!$B$6:$B$26,0))-AVERAGE('TEST RESULTS'!$H$6:$H$26))/MAX((MAX('TEST RESULTS'!$H$6:$H$26)-MIN('TEST RESULTS'!$H$6:$H$26))/SETTINGS!$C$6,0.1),0)))),0)</f>
        <v/>
      </c>
      <c r="K18" t="inlineStr">
        <is>
          <t>Oscar Day-Duran</t>
        </is>
      </c>
      <c r="L18">
        <f>'Oscar Day-Duran'!C10</f>
        <v/>
      </c>
      <c r="M18">
        <f>'Oscar Day-Duran'!C11</f>
        <v/>
      </c>
      <c r="N18">
        <f>'Oscar Day-Duran'!C12</f>
        <v/>
      </c>
      <c r="O18">
        <f>'Oscar Day-Duran'!C13</f>
        <v/>
      </c>
      <c r="P18">
        <f>'Oscar Day-Duran'!C14</f>
        <v/>
      </c>
      <c r="Q18">
        <f>'Oscar Day-Duran'!C5</f>
        <v/>
      </c>
      <c r="R18">
        <f>'Oscar Day-Duran'!C17</f>
        <v/>
      </c>
      <c r="S18">
        <f>'Oscar Day-Duran'!C18</f>
        <v/>
      </c>
      <c r="T18">
        <f>IF($U18="VALID TEAM",SUMPRODUCT(SUMIF($A$2:$A$22,L18:P18,$D$2:$D$22))+SUMIF($A$2:$A$22,Q18,$D$2:$D$22),0)</f>
        <v/>
      </c>
      <c r="U18">
        <f>'Oscar Day-Duran'!C20</f>
        <v/>
      </c>
      <c r="V18">
        <f>T18+ROW()/10000</f>
        <v/>
      </c>
    </row>
    <row r="19">
      <c r="A19" t="inlineStr">
        <is>
          <t>Alfie Foley</t>
        </is>
      </c>
      <c r="B19" t="n">
        <v>7.5</v>
      </c>
      <c r="C19">
        <f>SETTINGS!F39</f>
        <v/>
      </c>
      <c r="D19">
        <f>_xlfn.IFERROR(IF(INDEX('TEST RESULTS'!$H$6:$H$26,MATCH(A19,'TEST RESULTS'!$B$6:$B$26,0))="",0,MAX(SETTINGS!$C$7,MIN(SETTINGS!$C$8,SETTINGS!$C$5+ROUNDDOWN((INDEX('TEST RESULTS'!$H$6:$H$26,MATCH(A19,'TEST RESULTS'!$B$6:$B$26,0))-AVERAGE('TEST RESULTS'!$H$6:$H$26))/MAX((MAX('TEST RESULTS'!$H$6:$H$26)-MIN('TEST RESULTS'!$H$6:$H$26))/SETTINGS!$C$6,0.1),0)))),0)</f>
        <v/>
      </c>
      <c r="K19" t="inlineStr">
        <is>
          <t>Rebecca Seymour</t>
        </is>
      </c>
      <c r="L19">
        <f>'Rebecca Seymour'!C10</f>
        <v/>
      </c>
      <c r="M19">
        <f>'Rebecca Seymour'!C11</f>
        <v/>
      </c>
      <c r="N19">
        <f>'Rebecca Seymour'!C12</f>
        <v/>
      </c>
      <c r="O19">
        <f>'Rebecca Seymour'!C13</f>
        <v/>
      </c>
      <c r="P19">
        <f>'Rebecca Seymour'!C14</f>
        <v/>
      </c>
      <c r="Q19">
        <f>'Rebecca Seymour'!C5</f>
        <v/>
      </c>
      <c r="R19">
        <f>'Rebecca Seymour'!C17</f>
        <v/>
      </c>
      <c r="S19">
        <f>'Rebecca Seymour'!C18</f>
        <v/>
      </c>
      <c r="T19">
        <f>IF($U19="VALID TEAM",SUMPRODUCT(SUMIF($A$2:$A$22,L19:P19,$D$2:$D$22))+SUMIF($A$2:$A$22,Q19,$D$2:$D$22),0)</f>
        <v/>
      </c>
      <c r="U19">
        <f>'Rebecca Seymour'!C20</f>
        <v/>
      </c>
      <c r="V19">
        <f>T19+ROW()/10000</f>
        <v/>
      </c>
    </row>
    <row r="20">
      <c r="A20" t="inlineStr">
        <is>
          <t>Ava Swinfen</t>
        </is>
      </c>
      <c r="B20" t="n">
        <v>7</v>
      </c>
      <c r="C20">
        <f>SETTINGS!F40</f>
        <v/>
      </c>
      <c r="D20">
        <f>_xlfn.IFERROR(IF(INDEX('TEST RESULTS'!$H$6:$H$26,MATCH(A20,'TEST RESULTS'!$B$6:$B$26,0))="",0,MAX(SETTINGS!$C$7,MIN(SETTINGS!$C$8,SETTINGS!$C$5+ROUNDDOWN((INDEX('TEST RESULTS'!$H$6:$H$26,MATCH(A20,'TEST RESULTS'!$B$6:$B$26,0))-AVERAGE('TEST RESULTS'!$H$6:$H$26))/MAX((MAX('TEST RESULTS'!$H$6:$H$26)-MIN('TEST RESULTS'!$H$6:$H$26))/SETTINGS!$C$6,0.1),0)))),0)</f>
        <v/>
      </c>
      <c r="K20" t="inlineStr">
        <is>
          <t>Rory Bowman</t>
        </is>
      </c>
      <c r="L20">
        <f>'Rory Bowman'!C10</f>
        <v/>
      </c>
      <c r="M20">
        <f>'Rory Bowman'!C11</f>
        <v/>
      </c>
      <c r="N20">
        <f>'Rory Bowman'!C12</f>
        <v/>
      </c>
      <c r="O20">
        <f>'Rory Bowman'!C13</f>
        <v/>
      </c>
      <c r="P20">
        <f>'Rory Bowman'!C14</f>
        <v/>
      </c>
      <c r="Q20">
        <f>'Rory Bowman'!C5</f>
        <v/>
      </c>
      <c r="R20">
        <f>'Rory Bowman'!C17</f>
        <v/>
      </c>
      <c r="S20">
        <f>'Rory Bowman'!C18</f>
        <v/>
      </c>
      <c r="T20">
        <f>IF($U20="VALID TEAM",SUMPRODUCT(SUMIF($A$2:$A$22,L20:P20,$D$2:$D$22))+SUMIF($A$2:$A$22,Q20,$D$2:$D$22),0)</f>
        <v/>
      </c>
      <c r="U20">
        <f>'Rory Bowman'!C20</f>
        <v/>
      </c>
      <c r="V20">
        <f>T20+ROW()/10000</f>
        <v/>
      </c>
    </row>
    <row r="21">
      <c r="A21" t="inlineStr">
        <is>
          <t>Rory Bowman</t>
        </is>
      </c>
      <c r="B21" t="n">
        <v>7</v>
      </c>
      <c r="C21">
        <f>SETTINGS!F41</f>
        <v/>
      </c>
      <c r="D21">
        <f>_xlfn.IFERROR(IF(INDEX('TEST RESULTS'!$H$6:$H$26,MATCH(A21,'TEST RESULTS'!$B$6:$B$26,0))="",0,MAX(SETTINGS!$C$7,MIN(SETTINGS!$C$8,SETTINGS!$C$5+ROUNDDOWN((INDEX('TEST RESULTS'!$H$6:$H$26,MATCH(A21,'TEST RESULTS'!$B$6:$B$26,0))-AVERAGE('TEST RESULTS'!$H$6:$H$26))/MAX((MAX('TEST RESULTS'!$H$6:$H$26)-MIN('TEST RESULTS'!$H$6:$H$26))/SETTINGS!$C$6,0.1),0)))),0)</f>
        <v/>
      </c>
      <c r="K21" t="inlineStr">
        <is>
          <t>Sophie Barker</t>
        </is>
      </c>
      <c r="L21">
        <f>'Sophie Barker'!C10</f>
        <v/>
      </c>
      <c r="M21">
        <f>'Sophie Barker'!C11</f>
        <v/>
      </c>
      <c r="N21">
        <f>'Sophie Barker'!C12</f>
        <v/>
      </c>
      <c r="O21">
        <f>'Sophie Barker'!C13</f>
        <v/>
      </c>
      <c r="P21">
        <f>'Sophie Barker'!C14</f>
        <v/>
      </c>
      <c r="Q21">
        <f>'Sophie Barker'!C5</f>
        <v/>
      </c>
      <c r="R21">
        <f>'Sophie Barker'!C17</f>
        <v/>
      </c>
      <c r="S21">
        <f>'Sophie Barker'!C18</f>
        <v/>
      </c>
      <c r="T21">
        <f>IF($U21="VALID TEAM",SUMPRODUCT(SUMIF($A$2:$A$22,L21:P21,$D$2:$D$22))+SUMIF($A$2:$A$22,Q21,$D$2:$D$22),0)</f>
        <v/>
      </c>
      <c r="U21">
        <f>'Sophie Barker'!C20</f>
        <v/>
      </c>
      <c r="V21">
        <f>T21+ROW()/10000</f>
        <v/>
      </c>
    </row>
    <row r="22">
      <c r="A22" t="inlineStr">
        <is>
          <t>Xander Meijer</t>
        </is>
      </c>
      <c r="B22" t="n">
        <v>7</v>
      </c>
      <c r="C22">
        <f>SETTINGS!F42</f>
        <v/>
      </c>
      <c r="D22">
        <f>_xlfn.IFERROR(IF(INDEX('TEST RESULTS'!$H$6:$H$26,MATCH(A22,'TEST RESULTS'!$B$6:$B$26,0))="",0,MAX(SETTINGS!$C$7,MIN(SETTINGS!$C$8,SETTINGS!$C$5+ROUNDDOWN((INDEX('TEST RESULTS'!$H$6:$H$26,MATCH(A22,'TEST RESULTS'!$B$6:$B$26,0))-AVERAGE('TEST RESULTS'!$H$6:$H$26))/MAX((MAX('TEST RESULTS'!$H$6:$H$26)-MIN('TEST RESULTS'!$H$6:$H$26))/SETTINGS!$C$6,0.1),0)))),0)</f>
        <v/>
      </c>
      <c r="K22" t="inlineStr">
        <is>
          <t>Xander Meijer</t>
        </is>
      </c>
      <c r="L22">
        <f>'Xander Meijer'!C10</f>
        <v/>
      </c>
      <c r="M22">
        <f>'Xander Meijer'!C11</f>
        <v/>
      </c>
      <c r="N22">
        <f>'Xander Meijer'!C12</f>
        <v/>
      </c>
      <c r="O22">
        <f>'Xander Meijer'!C13</f>
        <v/>
      </c>
      <c r="P22">
        <f>'Xander Meijer'!C14</f>
        <v/>
      </c>
      <c r="Q22">
        <f>'Xander Meijer'!C5</f>
        <v/>
      </c>
      <c r="R22">
        <f>'Xander Meijer'!C17</f>
        <v/>
      </c>
      <c r="S22">
        <f>'Xander Meijer'!C18</f>
        <v/>
      </c>
      <c r="T22">
        <f>IF($U22="VALID TEAM",SUMPRODUCT(SUMIF($A$2:$A$22,L22:P22,$D$2:$D$22))+SUMIF($A$2:$A$22,Q22,$D$2:$D$22),0)</f>
        <v/>
      </c>
      <c r="U22">
        <f>'Xander Meijer'!C20</f>
        <v/>
      </c>
      <c r="V22">
        <f>T22+ROW()/10000</f>
        <v/>
      </c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xQ+qSrqZz64RCcq8gAlVfA==" formatRows="0" sort="1" spinCount="100000" password="90E3" hashValue="+i6r+Xt2REYm4gNdXJDRSa0eDZV0E4ssgKokX6sKTnpYGtII3NJqHdCTtpcJASg1AfDnMDxTfk0AIyNLyBcjUA==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ALEXA AMESIMEKU'S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ALFIE FOLEY'S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Sophie Barker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Ava Swinfen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David Wu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Alyza Rai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Sophie Barker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Edwin Mayers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ALYZA RAI'S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AVA SWINFEN'S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Lia Li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Ava Swinfen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Melody Zhaeentan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Lia Li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Chinedu Chile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David Wu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AZLAN HUSAIN'S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Emily Warburton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Emily Warburton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Chinedu Chile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Joe Paige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Alfie Foley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Edwin Mayers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topLeftCell="A5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CHINEDU CHILE'S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Chinedu Chile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Chinedu Chile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Alexa Amesimeku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David Wu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Edwin Mayers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Azlan Husain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H14" sqref="H14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DANIEL LIU'S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Emily Warburton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Alyza Rai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Ava Swinfen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Emily Warburton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David Wu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Chinedu Chile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DAVID WU'S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Edwin Mayers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Azlan Husain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Rebecca Seymour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Edwin Mayers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Chinedu Chile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Joe Paige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EDWIN MAYERS'S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Emily Warburton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Sophie Barker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Esme Beston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Edwin Mayers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Emily Warburton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Ava Swinfen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EMILY WARBURTON'S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ESME BESTON'S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IONA SMITH'S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JOE PAIGE'S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Chinedu Chile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Chinedu Chile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Joe Paige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Alfie Foley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Lia Li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Oscar Day-Duran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LIA LI'S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MELODY ZHAEENTAN'S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Lia Li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Lia Li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Edwin Mayers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Rebecca Seymour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Joe Paige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Xander Meijer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NINA DE SARAM'S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OSCAR DAY-DURAN'S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Joe Paige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Oscar Day-Duran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Chinedu Chile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Nina De Saram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David Wu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Joe Paige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REBECCA SEYMOUR'S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RORY BOWMAN'S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Lia Li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David Wu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Ava Swinfen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Alyza Rai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Edwin Mayers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Lia Li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SOPHIE BARKER'S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n"/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n"/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n"/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n"/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n"/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n"/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475569"/>
    <outlinePr summaryBelow="1" summaryRight="1"/>
    <pageSetUpPr/>
  </sheetPr>
  <dimension ref="B1:E24"/>
  <sheetViews>
    <sheetView showGridLines="0" zoomScale="90" workbookViewId="0">
      <selection activeCell="A1" sqref="A1"/>
    </sheetView>
  </sheetViews>
  <sheetFormatPr baseColWidth="8" defaultRowHeight="15"/>
  <cols>
    <col width="4" customWidth="1" style="53" min="1" max="1"/>
    <col width="32" customWidth="1" style="53" min="2" max="2"/>
    <col width="34" customWidth="1" style="53" min="3" max="3"/>
    <col width="20" customWidth="1" style="53" min="4" max="4"/>
    <col width="12" customWidth="1" style="53" min="5" max="5"/>
  </cols>
  <sheetData>
    <row r="1" ht="51.95" customHeight="1" s="53">
      <c r="B1" s="38" t="inlineStr">
        <is>
          <t>XANDER MEIJER'S TEAM</t>
        </is>
      </c>
    </row>
    <row r="2" ht="30" customHeight="1" s="53">
      <c r="B2" s="52" t="inlineStr">
        <is>
          <t>← Back to PICK YOUR TEAM</t>
        </is>
      </c>
    </row>
    <row r="3" ht="12" customHeight="1" s="53"/>
    <row r="4" ht="32.1" customHeight="1" s="53">
      <c r="B4" s="39" t="inlineStr">
        <is>
          <t>PICK YOUR CAPTAIN  (scores 2× points)</t>
        </is>
      </c>
    </row>
    <row r="5" ht="33.95" customHeight="1" s="53">
      <c r="C5" s="33" t="inlineStr">
        <is>
          <t>Lia Li</t>
        </is>
      </c>
    </row>
    <row r="6" ht="24" customHeight="1" s="53">
      <c r="B6" s="41" t="inlineStr">
        <is>
          <t>Step 1: Pick 5 players.  Step 2: Choose your captain in the GOLD box above.</t>
        </is>
      </c>
    </row>
    <row r="7" ht="12" customHeight="1" s="53"/>
    <row r="8" ht="32.1" customHeight="1" s="53">
      <c r="B8" s="39" t="inlineStr">
        <is>
          <t>SQUAD</t>
        </is>
      </c>
    </row>
    <row r="9" ht="32.1" customHeight="1" s="53">
      <c r="B9" s="6" t="inlineStr">
        <is>
          <t>Slot</t>
        </is>
      </c>
      <c r="C9" s="6" t="inlineStr">
        <is>
          <t>Player</t>
        </is>
      </c>
      <c r="D9" s="6" t="inlineStr">
        <is>
          <t>Price</t>
        </is>
      </c>
      <c r="E9" s="6" t="inlineStr">
        <is>
          <t>Points</t>
        </is>
      </c>
    </row>
    <row r="10" ht="32.1" customHeight="1" s="53">
      <c r="B10" s="34" t="n">
        <v>1</v>
      </c>
      <c r="C10" s="49" t="inlineStr">
        <is>
          <t>Lia Li</t>
        </is>
      </c>
      <c r="D10" s="32">
        <f>IF(C10="","",IFERROR(INDEX(CALCULATIONS!$C$2:$C$22,MATCH(C10,CALCULATIONS!$A$2:$A$22,0)),""))</f>
        <v/>
      </c>
      <c r="E10" s="19">
        <f>IF(C10="","",IF(C10=$C$5,TEXT(IFERROR(INDEX(CALCULATIONS!$D$2:$D$22,MATCH(C10,CALCULATIONS!$A$2:$A$22,0)),0)*2,"0")&amp;" (×2)",TEXT(IFERROR(INDEX(CALCULATIONS!$D$2:$D$22,MATCH(C10,CALCULATIONS!$A$2:$A$22,0)),0),"0")))</f>
        <v/>
      </c>
    </row>
    <row r="11" ht="32.1" customHeight="1" s="53">
      <c r="B11" s="34" t="n">
        <v>2</v>
      </c>
      <c r="C11" s="49" t="inlineStr">
        <is>
          <t>David Wu</t>
        </is>
      </c>
      <c r="D11" s="32">
        <f>IF(C11="","",IFERROR(INDEX(CALCULATIONS!$C$2:$C$22,MATCH(C11,CALCULATIONS!$A$2:$A$22,0)),""))</f>
        <v/>
      </c>
      <c r="E11" s="19">
        <f>IF(C11="","",IF(C11=$C$5,TEXT(IFERROR(INDEX(CALCULATIONS!$D$2:$D$22,MATCH(C11,CALCULATIONS!$A$2:$A$22,0)),0)*2,"0")&amp;" (×2)",TEXT(IFERROR(INDEX(CALCULATIONS!$D$2:$D$22,MATCH(C11,CALCULATIONS!$A$2:$A$22,0)),0),"0")))</f>
        <v/>
      </c>
    </row>
    <row r="12" ht="32.1" customHeight="1" s="53">
      <c r="B12" s="34" t="n">
        <v>3</v>
      </c>
      <c r="C12" s="49" t="inlineStr">
        <is>
          <t>Ava Swinfen</t>
        </is>
      </c>
      <c r="D12" s="32">
        <f>IF(C12="","",IFERROR(INDEX(CALCULATIONS!$C$2:$C$22,MATCH(C12,CALCULATIONS!$A$2:$A$22,0)),""))</f>
        <v/>
      </c>
      <c r="E12" s="19">
        <f>IF(C12="","",IF(C12=$C$5,TEXT(IFERROR(INDEX(CALCULATIONS!$D$2:$D$22,MATCH(C12,CALCULATIONS!$A$2:$A$22,0)),0)*2,"0")&amp;" (×2)",TEXT(IFERROR(INDEX(CALCULATIONS!$D$2:$D$22,MATCH(C12,CALCULATIONS!$A$2:$A$22,0)),0),"0")))</f>
        <v/>
      </c>
    </row>
    <row r="13" ht="32.1" customHeight="1" s="53">
      <c r="B13" s="34" t="n">
        <v>4</v>
      </c>
      <c r="C13" s="49" t="inlineStr">
        <is>
          <t>Joe Paige</t>
        </is>
      </c>
      <c r="D13" s="32">
        <f>IF(C13="","",IFERROR(INDEX(CALCULATIONS!$C$2:$C$22,MATCH(C13,CALCULATIONS!$A$2:$A$22,0)),""))</f>
        <v/>
      </c>
      <c r="E13" s="19">
        <f>IF(C13="","",IF(C13=$C$5,TEXT(IFERROR(INDEX(CALCULATIONS!$D$2:$D$22,MATCH(C13,CALCULATIONS!$A$2:$A$22,0)),0)*2,"0")&amp;" (×2)",TEXT(IFERROR(INDEX(CALCULATIONS!$D$2:$D$22,MATCH(C13,CALCULATIONS!$A$2:$A$22,0)),0),"0")))</f>
        <v/>
      </c>
    </row>
    <row r="14" ht="32.1" customHeight="1" s="53">
      <c r="B14" s="34" t="n">
        <v>5</v>
      </c>
      <c r="C14" s="49" t="inlineStr">
        <is>
          <t>Melody Zhaeentan</t>
        </is>
      </c>
      <c r="D14" s="32">
        <f>IF(C14="","",IFERROR(INDEX(CALCULATIONS!$C$2:$C$22,MATCH(C14,CALCULATIONS!$A$2:$A$22,0)),""))</f>
        <v/>
      </c>
      <c r="E14" s="19">
        <f>IF(C14="","",IF(C14=$C$5,TEXT(IFERROR(INDEX(CALCULATIONS!$D$2:$D$22,MATCH(C14,CALCULATIONS!$A$2:$A$22,0)),0)*2,"0")&amp;" (×2)",TEXT(IFERROR(INDEX(CALCULATIONS!$D$2:$D$22,MATCH(C14,CALCULATIONS!$A$2:$A$22,0)),0),"0")))</f>
        <v/>
      </c>
    </row>
    <row r="15" ht="12" customHeight="1" s="53"/>
    <row r="16" ht="32.1" customHeight="1" s="53">
      <c r="B16" s="39" t="inlineStr">
        <is>
          <t>TEAM SUMMARY</t>
        </is>
      </c>
    </row>
    <row r="17" ht="30" customHeight="1" s="53">
      <c r="B17" s="4" t="inlineStr">
        <is>
          <t>Team Value</t>
        </is>
      </c>
      <c r="C17" s="85">
        <f>SUM(D10:D14)</f>
        <v/>
      </c>
    </row>
    <row r="18" ht="30" customHeight="1" s="53">
      <c r="B18" s="4" t="inlineStr">
        <is>
          <t>Budget Left</t>
        </is>
      </c>
      <c r="C18" s="85">
        <f>50-C17</f>
        <v/>
      </c>
    </row>
    <row r="19" ht="30" customHeight="1" s="53">
      <c r="B19" s="4" t="inlineStr">
        <is>
          <t>GW Score</t>
        </is>
      </c>
      <c r="C19" s="36">
        <f>IF($C$20="VALID TEAM",SUMPRODUCT(SUMIF(CALCULATIONS!$A$2:$A$22,C10:C14,CALCULATIONS!$D$2:$D$22))+SUMIF(CALCULATIONS!$A$2:$A$22,C5,CALCULATIONS!$D$2:$D$22),0)</f>
        <v/>
      </c>
    </row>
    <row r="20" ht="30" customHeight="1" s="53">
      <c r="B20" s="4" t="inlineStr">
        <is>
          <t>Team Status</t>
        </is>
      </c>
      <c r="C20" s="37">
        <f>IF(COUNTBLANK(C10:C14)&gt;0,"LESS THAN 5 PLAYERS",IF(SUM(D10:D14)&gt;50,"OVER BUDGET",IF(C5="","NO CAPTAIN",IF(COUNTIF(C10:C14,C5)=0,"CAPTAIN NOT IN SQUAD",IF(SUMPRODUCT(COUNTIF(C10:C14,C10:C14))&gt;5,"DUPLICATE PLAYER","VALID TEAM")))))</f>
        <v/>
      </c>
    </row>
    <row r="21" ht="12" customHeight="1" s="53"/>
    <row r="22">
      <c r="B22" s="49" t="inlineStr">
        <is>
          <t>INPUT CELLS ARE GOLD.
Only the captain cell (C5) and the 5 player cells (C10:C14) should be edited.
Do NOT type 'CAPTAIN' anywhere in the squad.</t>
        </is>
      </c>
      <c r="C22" s="56" t="n"/>
      <c r="D22" s="57" t="n"/>
    </row>
    <row r="23">
      <c r="B23" s="61" t="n"/>
      <c r="D23" s="62" t="n"/>
    </row>
    <row r="24">
      <c r="B24" s="58" t="n"/>
      <c r="C24" s="59" t="n"/>
      <c r="D24" s="60" t="n"/>
    </row>
  </sheetData>
  <mergeCells count="7">
    <mergeCell ref="B8:E8"/>
    <mergeCell ref="B22:D24"/>
    <mergeCell ref="B1:D1"/>
    <mergeCell ref="B4:D4"/>
    <mergeCell ref="B16:D16"/>
    <mergeCell ref="B6:D6"/>
    <mergeCell ref="B2:D2"/>
  </mergeCells>
  <conditionalFormatting sqref="C20">
    <cfRule type="expression" priority="1" dxfId="2">
      <formula>C20="VALID TEAM"</formula>
    </cfRule>
    <cfRule type="expression" priority="2" dxfId="1">
      <formula>C20&lt;&gt;"VALID TEAM"</formula>
    </cfRule>
  </conditionalFormatting>
  <conditionalFormatting sqref="E10:E14">
    <cfRule type="expression" priority="3" dxfId="0">
      <formula>$C10=$C$5</formula>
    </cfRule>
  </conditionalFormatting>
  <dataValidations count="1">
    <dataValidation sqref="C5" showDropDown="0" showInputMessage="0" showErrorMessage="1" allowBlank="1" errorTitle="Invalid captain" error="Choose one of your 5 players." type="list">
      <formula1>$C$10:$C$14</formula1>
    </dataValidation>
  </dataValidations>
  <hyperlinks>
    <hyperlink ref="B2" location="'PICK YOUR TEAM'!A1" display="← Back to PICK YOUR TEAM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2026-10-01T18:54:29Z</dcterms:created>
  <dcterms:modified xsi:type="dcterms:W3CDTF">2026-10-02T10:04:41Z</dcterms:modified>
</cp:coreProperties>
</file>
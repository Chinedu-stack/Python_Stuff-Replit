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48b5d172b360b34/Copies School Fantasy League for editing/"/>
    </mc:Choice>
  </mc:AlternateContent>
  <xr:revisionPtr revIDLastSave="23" documentId="11_F8BFDB76F1E19AEF2221CEDF7A253425E33568D7" xr6:coauthVersionLast="47" xr6:coauthVersionMax="47" xr10:uidLastSave="{AB7052D0-7380-4065-A31C-22B886FF25E1}"/>
  <bookViews>
    <workbookView xWindow="-120" yWindow="-120" windowWidth="29040" windowHeight="15720" firstSheet="4" activeTab="7" xr2:uid="{00000000-000D-0000-FFFF-FFFF00000000}"/>
  </bookViews>
  <sheets>
    <sheet name="HOME" sheetId="1" r:id="rId1"/>
    <sheet name="RULES" sheetId="2" r:id="rId2"/>
    <sheet name="PICK YOUR TEAM" sheetId="3" r:id="rId3"/>
    <sheet name="PLAYER MARKET" sheetId="4" r:id="rId4"/>
    <sheet name="TEST RESULTS" sheetId="5" r:id="rId5"/>
    <sheet name=" Overall Leaderboard" sheetId="6" r:id="rId6"/>
    <sheet name="GW Leaderboard" sheetId="7" r:id="rId7"/>
    <sheet name="SETTINGS" sheetId="8" r:id="rId8"/>
    <sheet name="RAW RESULTS" sheetId="9" state="hidden" r:id="rId9"/>
    <sheet name="CALCULATIONS" sheetId="10" state="hidden" r:id="rId10"/>
    <sheet name="Alexa Amesimeku" sheetId="11" r:id="rId11"/>
    <sheet name="Alfie Foley" sheetId="12" r:id="rId12"/>
    <sheet name="Alyza Rai" sheetId="13" r:id="rId13"/>
    <sheet name="Ava Swinfen" sheetId="14" r:id="rId14"/>
    <sheet name="Azlan Husain" sheetId="15" r:id="rId15"/>
    <sheet name="Chinedu Chile" sheetId="16" r:id="rId16"/>
    <sheet name="Daniel Liu" sheetId="17" r:id="rId17"/>
    <sheet name="David Wu" sheetId="18" r:id="rId18"/>
    <sheet name="Edwin Mayers" sheetId="19" r:id="rId19"/>
    <sheet name="Emily Warburton" sheetId="20" r:id="rId20"/>
    <sheet name="Esme Beston" sheetId="21" r:id="rId21"/>
    <sheet name="Iona Smith" sheetId="22" r:id="rId22"/>
    <sheet name="Joe Paige" sheetId="23" r:id="rId23"/>
    <sheet name="Lia Li" sheetId="24" r:id="rId24"/>
    <sheet name="Melody Zhaeentan" sheetId="25" r:id="rId25"/>
    <sheet name="Nina De Saram" sheetId="26" r:id="rId26"/>
    <sheet name="Oscar Day-Duran" sheetId="27" r:id="rId27"/>
    <sheet name="Rebecca Seymour" sheetId="28" r:id="rId28"/>
    <sheet name="Rory Bowman" sheetId="29" r:id="rId29"/>
    <sheet name="Sophie Barker" sheetId="30" r:id="rId30"/>
    <sheet name="Xander Meijer" sheetId="31" r:id="rId31"/>
    <sheet name="MASTER DATA" sheetId="32" state="hidden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2" l="1"/>
  <c r="G22" i="32"/>
  <c r="F22" i="32"/>
  <c r="E22" i="32"/>
  <c r="D22" i="32"/>
  <c r="C22" i="32"/>
  <c r="H21" i="32"/>
  <c r="G21" i="32"/>
  <c r="F21" i="32"/>
  <c r="E21" i="32"/>
  <c r="D21" i="32"/>
  <c r="C21" i="32"/>
  <c r="H20" i="32"/>
  <c r="G20" i="32"/>
  <c r="F20" i="32"/>
  <c r="E20" i="32"/>
  <c r="D20" i="32"/>
  <c r="C20" i="32"/>
  <c r="H19" i="32"/>
  <c r="G19" i="32"/>
  <c r="F19" i="32"/>
  <c r="E19" i="32"/>
  <c r="D19" i="32"/>
  <c r="C19" i="32"/>
  <c r="H18" i="32"/>
  <c r="G18" i="32"/>
  <c r="F18" i="32"/>
  <c r="E18" i="32"/>
  <c r="D18" i="32"/>
  <c r="C18" i="32"/>
  <c r="H17" i="32"/>
  <c r="G17" i="32"/>
  <c r="F17" i="32"/>
  <c r="E17" i="32"/>
  <c r="D17" i="32"/>
  <c r="C17" i="32"/>
  <c r="H16" i="32"/>
  <c r="G16" i="32"/>
  <c r="F16" i="32"/>
  <c r="E16" i="32"/>
  <c r="D16" i="32"/>
  <c r="C16" i="32"/>
  <c r="H15" i="32"/>
  <c r="G15" i="32"/>
  <c r="F15" i="32"/>
  <c r="E15" i="32"/>
  <c r="D15" i="32"/>
  <c r="C15" i="32"/>
  <c r="H14" i="32"/>
  <c r="G14" i="32"/>
  <c r="F14" i="32"/>
  <c r="E14" i="32"/>
  <c r="D14" i="32"/>
  <c r="C14" i="32"/>
  <c r="H13" i="32"/>
  <c r="G13" i="32"/>
  <c r="F13" i="32"/>
  <c r="E13" i="32"/>
  <c r="D13" i="32"/>
  <c r="C13" i="32"/>
  <c r="H12" i="32"/>
  <c r="G12" i="32"/>
  <c r="F12" i="32"/>
  <c r="E12" i="32"/>
  <c r="D12" i="32"/>
  <c r="C12" i="32"/>
  <c r="H11" i="32"/>
  <c r="G11" i="32"/>
  <c r="F11" i="32"/>
  <c r="E11" i="32"/>
  <c r="D11" i="32"/>
  <c r="C11" i="32"/>
  <c r="H10" i="32"/>
  <c r="G10" i="32"/>
  <c r="F10" i="32"/>
  <c r="E10" i="32"/>
  <c r="D10" i="32"/>
  <c r="C10" i="32"/>
  <c r="H9" i="32"/>
  <c r="G9" i="32"/>
  <c r="F9" i="32"/>
  <c r="E9" i="32"/>
  <c r="D9" i="32"/>
  <c r="C9" i="32"/>
  <c r="H8" i="32"/>
  <c r="G8" i="32"/>
  <c r="F8" i="32"/>
  <c r="E8" i="32"/>
  <c r="D8" i="32"/>
  <c r="C8" i="32"/>
  <c r="H7" i="32"/>
  <c r="G7" i="32"/>
  <c r="F7" i="32"/>
  <c r="E7" i="32"/>
  <c r="D7" i="32"/>
  <c r="C7" i="32"/>
  <c r="H6" i="32"/>
  <c r="G6" i="32"/>
  <c r="F6" i="32"/>
  <c r="E6" i="32"/>
  <c r="D6" i="32"/>
  <c r="C6" i="32"/>
  <c r="H5" i="32"/>
  <c r="G5" i="32"/>
  <c r="F5" i="32"/>
  <c r="E5" i="32"/>
  <c r="D5" i="32"/>
  <c r="C5" i="32"/>
  <c r="H4" i="32"/>
  <c r="G4" i="32"/>
  <c r="F4" i="32"/>
  <c r="E4" i="32"/>
  <c r="D4" i="32"/>
  <c r="C4" i="32"/>
  <c r="H3" i="32"/>
  <c r="G3" i="32"/>
  <c r="F3" i="32"/>
  <c r="E3" i="32"/>
  <c r="D3" i="32"/>
  <c r="C3" i="32"/>
  <c r="H2" i="32"/>
  <c r="G2" i="32"/>
  <c r="F2" i="32"/>
  <c r="E2" i="32"/>
  <c r="D2" i="32"/>
  <c r="C2" i="32"/>
  <c r="C20" i="30"/>
  <c r="E14" i="30"/>
  <c r="D14" i="30"/>
  <c r="E13" i="30"/>
  <c r="D13" i="30"/>
  <c r="E12" i="30"/>
  <c r="D12" i="30"/>
  <c r="E11" i="30"/>
  <c r="D11" i="30"/>
  <c r="E10" i="30"/>
  <c r="D10" i="30"/>
  <c r="C17" i="30" s="1"/>
  <c r="C20" i="28"/>
  <c r="C19" i="28" s="1"/>
  <c r="E14" i="28"/>
  <c r="D14" i="28"/>
  <c r="E13" i="28"/>
  <c r="D13" i="28"/>
  <c r="E12" i="28"/>
  <c r="D12" i="28"/>
  <c r="E11" i="28"/>
  <c r="D11" i="28"/>
  <c r="E10" i="28"/>
  <c r="D10" i="28"/>
  <c r="C20" i="26"/>
  <c r="E14" i="26"/>
  <c r="D14" i="26"/>
  <c r="E13" i="26"/>
  <c r="D13" i="26"/>
  <c r="E12" i="26"/>
  <c r="D12" i="26"/>
  <c r="E11" i="26"/>
  <c r="D11" i="26"/>
  <c r="E10" i="26"/>
  <c r="D10" i="26"/>
  <c r="C17" i="26" s="1"/>
  <c r="C20" i="24"/>
  <c r="E14" i="24"/>
  <c r="D14" i="24"/>
  <c r="E13" i="24"/>
  <c r="D13" i="24"/>
  <c r="E12" i="24"/>
  <c r="D12" i="24"/>
  <c r="E11" i="24"/>
  <c r="D11" i="24"/>
  <c r="E10" i="24"/>
  <c r="D10" i="24"/>
  <c r="C17" i="24" s="1"/>
  <c r="C20" i="22"/>
  <c r="E14" i="22"/>
  <c r="D14" i="22"/>
  <c r="E13" i="22"/>
  <c r="D13" i="22"/>
  <c r="E12" i="22"/>
  <c r="D12" i="22"/>
  <c r="E11" i="22"/>
  <c r="D11" i="22"/>
  <c r="E10" i="22"/>
  <c r="D10" i="22"/>
  <c r="C17" i="22" s="1"/>
  <c r="C20" i="21"/>
  <c r="E14" i="21"/>
  <c r="D14" i="21"/>
  <c r="E13" i="21"/>
  <c r="D13" i="21"/>
  <c r="E12" i="21"/>
  <c r="D12" i="21"/>
  <c r="E11" i="21"/>
  <c r="D11" i="21"/>
  <c r="E10" i="21"/>
  <c r="D10" i="21"/>
  <c r="C20" i="20"/>
  <c r="E14" i="20"/>
  <c r="D14" i="20"/>
  <c r="E13" i="20"/>
  <c r="D13" i="20"/>
  <c r="E12" i="20"/>
  <c r="D12" i="20"/>
  <c r="E11" i="20"/>
  <c r="D11" i="20"/>
  <c r="E10" i="20"/>
  <c r="D10" i="20"/>
  <c r="C17" i="20" s="1"/>
  <c r="E12" i="17"/>
  <c r="D12" i="17"/>
  <c r="C20" i="17" s="1"/>
  <c r="C20" i="13"/>
  <c r="E14" i="13"/>
  <c r="D14" i="13"/>
  <c r="E13" i="13"/>
  <c r="D13" i="13"/>
  <c r="E12" i="13"/>
  <c r="D12" i="13"/>
  <c r="E11" i="13"/>
  <c r="D11" i="13"/>
  <c r="E10" i="13"/>
  <c r="D10" i="13"/>
  <c r="C17" i="13" s="1"/>
  <c r="Q22" i="10"/>
  <c r="P22" i="10"/>
  <c r="O22" i="10"/>
  <c r="N22" i="10"/>
  <c r="M22" i="10"/>
  <c r="L22" i="10"/>
  <c r="Q21" i="10"/>
  <c r="P21" i="10"/>
  <c r="O21" i="10"/>
  <c r="N21" i="10"/>
  <c r="M21" i="10"/>
  <c r="L21" i="10"/>
  <c r="Q20" i="10"/>
  <c r="P20" i="10"/>
  <c r="O20" i="10"/>
  <c r="N20" i="10"/>
  <c r="M20" i="10"/>
  <c r="L20" i="10"/>
  <c r="U19" i="10"/>
  <c r="Q19" i="10"/>
  <c r="P19" i="10"/>
  <c r="O19" i="10"/>
  <c r="N19" i="10"/>
  <c r="M19" i="10"/>
  <c r="L19" i="10"/>
  <c r="Q18" i="10"/>
  <c r="P18" i="10"/>
  <c r="O18" i="10"/>
  <c r="N18" i="10"/>
  <c r="M18" i="10"/>
  <c r="L18" i="10"/>
  <c r="Q17" i="10"/>
  <c r="P17" i="10"/>
  <c r="O17" i="10"/>
  <c r="N17" i="10"/>
  <c r="M17" i="10"/>
  <c r="L17" i="10"/>
  <c r="Q16" i="10"/>
  <c r="P16" i="10"/>
  <c r="O16" i="10"/>
  <c r="N16" i="10"/>
  <c r="M16" i="10"/>
  <c r="L16" i="10"/>
  <c r="Q15" i="10"/>
  <c r="P15" i="10"/>
  <c r="O15" i="10"/>
  <c r="N15" i="10"/>
  <c r="M15" i="10"/>
  <c r="L15" i="10"/>
  <c r="Q14" i="10"/>
  <c r="P14" i="10"/>
  <c r="O14" i="10"/>
  <c r="N14" i="10"/>
  <c r="M14" i="10"/>
  <c r="L14" i="10"/>
  <c r="Q13" i="10"/>
  <c r="P13" i="10"/>
  <c r="O13" i="10"/>
  <c r="N13" i="10"/>
  <c r="M13" i="10"/>
  <c r="L13" i="10"/>
  <c r="Q12" i="10"/>
  <c r="P12" i="10"/>
  <c r="O12" i="10"/>
  <c r="N12" i="10"/>
  <c r="M12" i="10"/>
  <c r="L12" i="10"/>
  <c r="Q11" i="10"/>
  <c r="P11" i="10"/>
  <c r="O11" i="10"/>
  <c r="N11" i="10"/>
  <c r="M11" i="10"/>
  <c r="L11" i="10"/>
  <c r="Q10" i="10"/>
  <c r="P10" i="10"/>
  <c r="O10" i="10"/>
  <c r="N10" i="10"/>
  <c r="M10" i="10"/>
  <c r="L10" i="10"/>
  <c r="Q9" i="10"/>
  <c r="P9" i="10"/>
  <c r="O9" i="10"/>
  <c r="N9" i="10"/>
  <c r="M9" i="10"/>
  <c r="L9" i="10"/>
  <c r="Q8" i="10"/>
  <c r="P8" i="10"/>
  <c r="O8" i="10"/>
  <c r="N8" i="10"/>
  <c r="M8" i="10"/>
  <c r="L8" i="10"/>
  <c r="Q7" i="10"/>
  <c r="P7" i="10"/>
  <c r="O7" i="10"/>
  <c r="N7" i="10"/>
  <c r="M7" i="10"/>
  <c r="L7" i="10"/>
  <c r="Q6" i="10"/>
  <c r="P6" i="10"/>
  <c r="O6" i="10"/>
  <c r="N6" i="10"/>
  <c r="M6" i="10"/>
  <c r="L6" i="10"/>
  <c r="Q5" i="10"/>
  <c r="P5" i="10"/>
  <c r="O5" i="10"/>
  <c r="N5" i="10"/>
  <c r="M5" i="10"/>
  <c r="L5" i="10"/>
  <c r="D5" i="10"/>
  <c r="Q4" i="10"/>
  <c r="P4" i="10"/>
  <c r="O4" i="10"/>
  <c r="N4" i="10"/>
  <c r="M4" i="10"/>
  <c r="L4" i="10"/>
  <c r="Q3" i="10"/>
  <c r="P3" i="10"/>
  <c r="O3" i="10"/>
  <c r="N3" i="10"/>
  <c r="M3" i="10"/>
  <c r="L3" i="10"/>
  <c r="Q2" i="10"/>
  <c r="P2" i="10"/>
  <c r="O2" i="10"/>
  <c r="N2" i="10"/>
  <c r="M2" i="10"/>
  <c r="L2" i="10"/>
  <c r="H43" i="8"/>
  <c r="D43" i="8"/>
  <c r="F43" i="8" s="1"/>
  <c r="C22" i="10" s="1"/>
  <c r="H42" i="8"/>
  <c r="D42" i="8"/>
  <c r="F42" i="8" s="1"/>
  <c r="C21" i="10" s="1"/>
  <c r="H41" i="8"/>
  <c r="D41" i="8"/>
  <c r="F41" i="8" s="1"/>
  <c r="C20" i="10" s="1"/>
  <c r="H40" i="8"/>
  <c r="D40" i="8"/>
  <c r="F40" i="8" s="1"/>
  <c r="C19" i="10" s="1"/>
  <c r="H39" i="8"/>
  <c r="D39" i="8"/>
  <c r="F39" i="8" s="1"/>
  <c r="C18" i="10" s="1"/>
  <c r="H38" i="8"/>
  <c r="D38" i="8"/>
  <c r="F38" i="8" s="1"/>
  <c r="C17" i="10" s="1"/>
  <c r="H37" i="8"/>
  <c r="D37" i="8"/>
  <c r="F37" i="8" s="1"/>
  <c r="C16" i="10" s="1"/>
  <c r="H36" i="8"/>
  <c r="D36" i="8"/>
  <c r="F36" i="8" s="1"/>
  <c r="C15" i="10" s="1"/>
  <c r="H35" i="8"/>
  <c r="D35" i="8"/>
  <c r="F35" i="8" s="1"/>
  <c r="C14" i="10" s="1"/>
  <c r="H34" i="8"/>
  <c r="D34" i="8"/>
  <c r="F34" i="8" s="1"/>
  <c r="C13" i="10" s="1"/>
  <c r="H33" i="8"/>
  <c r="D33" i="8"/>
  <c r="F33" i="8" s="1"/>
  <c r="C12" i="10" s="1"/>
  <c r="H32" i="8"/>
  <c r="D32" i="8"/>
  <c r="F32" i="8" s="1"/>
  <c r="C11" i="10" s="1"/>
  <c r="H31" i="8"/>
  <c r="D31" i="8"/>
  <c r="F31" i="8" s="1"/>
  <c r="C10" i="10" s="1"/>
  <c r="H30" i="8"/>
  <c r="D30" i="8"/>
  <c r="F30" i="8" s="1"/>
  <c r="C9" i="10" s="1"/>
  <c r="H29" i="8"/>
  <c r="D29" i="8"/>
  <c r="F29" i="8" s="1"/>
  <c r="C8" i="10" s="1"/>
  <c r="H28" i="8"/>
  <c r="D28" i="8"/>
  <c r="F28" i="8" s="1"/>
  <c r="C7" i="10" s="1"/>
  <c r="H27" i="8"/>
  <c r="D27" i="8"/>
  <c r="F27" i="8" s="1"/>
  <c r="C6" i="10" s="1"/>
  <c r="H26" i="8"/>
  <c r="D26" i="8"/>
  <c r="F26" i="8" s="1"/>
  <c r="C5" i="10" s="1"/>
  <c r="H25" i="8"/>
  <c r="D25" i="8"/>
  <c r="F25" i="8" s="1"/>
  <c r="C4" i="10" s="1"/>
  <c r="H24" i="8"/>
  <c r="D24" i="8"/>
  <c r="F24" i="8" s="1"/>
  <c r="C3" i="10" s="1"/>
  <c r="H23" i="8"/>
  <c r="D23" i="8"/>
  <c r="F23" i="8" s="1"/>
  <c r="C2" i="10" s="1"/>
  <c r="C3" i="7"/>
  <c r="H25" i="5"/>
  <c r="H24" i="5"/>
  <c r="H23" i="5"/>
  <c r="H22" i="5"/>
  <c r="D13" i="10" s="1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D5" i="5"/>
  <c r="C5" i="5"/>
  <c r="E25" i="4"/>
  <c r="B25" i="4"/>
  <c r="E24" i="4"/>
  <c r="B24" i="4"/>
  <c r="E23" i="4"/>
  <c r="B23" i="4"/>
  <c r="E22" i="4"/>
  <c r="B22" i="4"/>
  <c r="E21" i="4"/>
  <c r="B21" i="4"/>
  <c r="E20" i="4"/>
  <c r="B20" i="4"/>
  <c r="E19" i="4"/>
  <c r="B19" i="4"/>
  <c r="E18" i="4"/>
  <c r="B18" i="4"/>
  <c r="E17" i="4"/>
  <c r="B17" i="4"/>
  <c r="E16" i="4"/>
  <c r="B16" i="4"/>
  <c r="E15" i="4"/>
  <c r="B15" i="4"/>
  <c r="E14" i="4"/>
  <c r="B14" i="4"/>
  <c r="E13" i="4"/>
  <c r="B13" i="4"/>
  <c r="E12" i="4"/>
  <c r="B12" i="4"/>
  <c r="E11" i="4"/>
  <c r="B11" i="4"/>
  <c r="E10" i="4"/>
  <c r="B10" i="4"/>
  <c r="E9" i="4"/>
  <c r="B9" i="4"/>
  <c r="E8" i="4"/>
  <c r="B8" i="4"/>
  <c r="E7" i="4"/>
  <c r="B7" i="4"/>
  <c r="E6" i="4"/>
  <c r="B6" i="4"/>
  <c r="E5" i="4"/>
  <c r="B5" i="4"/>
  <c r="T19" i="10" l="1"/>
  <c r="V19" i="10" s="1"/>
  <c r="C22" i="3"/>
  <c r="D6" i="10"/>
  <c r="D11" i="10"/>
  <c r="D20" i="10"/>
  <c r="D19" i="10"/>
  <c r="E13" i="19"/>
  <c r="E10" i="15"/>
  <c r="U11" i="10"/>
  <c r="C19" i="20"/>
  <c r="U8" i="10"/>
  <c r="C19" i="17"/>
  <c r="C17" i="28"/>
  <c r="C19" i="26"/>
  <c r="U17" i="10"/>
  <c r="D8" i="10"/>
  <c r="C17" i="21"/>
  <c r="D15" i="10"/>
  <c r="D18" i="10"/>
  <c r="D12" i="10"/>
  <c r="D22" i="10"/>
  <c r="D10" i="10"/>
  <c r="D9" i="10"/>
  <c r="D3" i="10"/>
  <c r="D2" i="10"/>
  <c r="D4" i="10"/>
  <c r="D21" i="10"/>
  <c r="D7" i="10"/>
  <c r="C19" i="24"/>
  <c r="U15" i="10"/>
  <c r="C19" i="22"/>
  <c r="U13" i="10"/>
  <c r="U12" i="10"/>
  <c r="C19" i="21"/>
  <c r="C19" i="30"/>
  <c r="U21" i="10"/>
  <c r="C18" i="30"/>
  <c r="S21" i="10" s="1"/>
  <c r="R21" i="10"/>
  <c r="C18" i="26"/>
  <c r="S17" i="10" s="1"/>
  <c r="R17" i="10"/>
  <c r="C18" i="24"/>
  <c r="S15" i="10" s="1"/>
  <c r="R15" i="10"/>
  <c r="C18" i="22"/>
  <c r="S13" i="10" s="1"/>
  <c r="R13" i="10"/>
  <c r="C14" i="3"/>
  <c r="T11" i="10"/>
  <c r="V11" i="10" s="1"/>
  <c r="C18" i="20"/>
  <c r="S11" i="10" s="1"/>
  <c r="R11" i="10"/>
  <c r="C19" i="13"/>
  <c r="U4" i="10"/>
  <c r="C18" i="13"/>
  <c r="S4" i="10" s="1"/>
  <c r="R4" i="10"/>
  <c r="D14" i="11"/>
  <c r="D14" i="25"/>
  <c r="C25" i="4"/>
  <c r="D25" i="4"/>
  <c r="D24" i="4"/>
  <c r="C24" i="4"/>
  <c r="D23" i="4"/>
  <c r="D10" i="14"/>
  <c r="D11" i="17"/>
  <c r="D14" i="19"/>
  <c r="D12" i="31"/>
  <c r="D10" i="12"/>
  <c r="D11" i="29"/>
  <c r="C23" i="4"/>
  <c r="D13" i="15"/>
  <c r="C22" i="4"/>
  <c r="D22" i="4"/>
  <c r="D12" i="23"/>
  <c r="D14" i="23"/>
  <c r="D21" i="4"/>
  <c r="D10" i="27"/>
  <c r="C21" i="4"/>
  <c r="D20" i="4"/>
  <c r="C20" i="4"/>
  <c r="C19" i="4"/>
  <c r="D19" i="4"/>
  <c r="D11" i="19"/>
  <c r="D11" i="14"/>
  <c r="D14" i="31"/>
  <c r="C18" i="4"/>
  <c r="D18" i="4"/>
  <c r="D14" i="15"/>
  <c r="D13" i="16"/>
  <c r="D12" i="18"/>
  <c r="D12" i="19"/>
  <c r="C17" i="4"/>
  <c r="D14" i="12"/>
  <c r="D11" i="25"/>
  <c r="D13" i="29"/>
  <c r="D17" i="4"/>
  <c r="D16" i="4"/>
  <c r="D11" i="18"/>
  <c r="D12" i="25"/>
  <c r="C16" i="4"/>
  <c r="C15" i="4"/>
  <c r="D15" i="4"/>
  <c r="D12" i="11"/>
  <c r="D11" i="16"/>
  <c r="C14" i="4"/>
  <c r="D14" i="4"/>
  <c r="D13" i="11"/>
  <c r="C13" i="4"/>
  <c r="D13" i="4"/>
  <c r="D12" i="27"/>
  <c r="D12" i="4"/>
  <c r="D14" i="16"/>
  <c r="D10" i="18"/>
  <c r="C12" i="4"/>
  <c r="D11" i="4"/>
  <c r="D11" i="11"/>
  <c r="C11" i="4"/>
  <c r="D12" i="15"/>
  <c r="D14" i="18"/>
  <c r="D13" i="31"/>
  <c r="D13" i="25"/>
  <c r="D14" i="27"/>
  <c r="D11" i="23"/>
  <c r="D10" i="4"/>
  <c r="D14" i="14"/>
  <c r="D12" i="16"/>
  <c r="D13" i="17"/>
  <c r="D11" i="31"/>
  <c r="D11" i="12"/>
  <c r="D13" i="27"/>
  <c r="D10" i="29"/>
  <c r="C10" i="4"/>
  <c r="C9" i="4"/>
  <c r="D9" i="4"/>
  <c r="D10" i="17"/>
  <c r="D12" i="12"/>
  <c r="D12" i="29"/>
  <c r="D10" i="15"/>
  <c r="D13" i="19"/>
  <c r="C8" i="4"/>
  <c r="D8" i="4"/>
  <c r="D13" i="14"/>
  <c r="D11" i="15"/>
  <c r="D10" i="16"/>
  <c r="D14" i="17"/>
  <c r="D13" i="18"/>
  <c r="D11" i="27"/>
  <c r="D10" i="23"/>
  <c r="C7" i="4"/>
  <c r="D7" i="4"/>
  <c r="C6" i="4"/>
  <c r="D10" i="11"/>
  <c r="D13" i="12"/>
  <c r="D10" i="19"/>
  <c r="D6" i="4"/>
  <c r="C5" i="4"/>
  <c r="D12" i="14"/>
  <c r="D10" i="31"/>
  <c r="D5" i="4"/>
  <c r="D10" i="25"/>
  <c r="D14" i="29"/>
  <c r="D13" i="23"/>
  <c r="E11" i="18"/>
  <c r="E12" i="25"/>
  <c r="D14" i="10"/>
  <c r="D16" i="10"/>
  <c r="E11" i="19" s="1"/>
  <c r="D17" i="10"/>
  <c r="E12" i="12" l="1"/>
  <c r="E12" i="29"/>
  <c r="E10" i="17"/>
  <c r="E12" i="11"/>
  <c r="E11" i="16"/>
  <c r="E11" i="17"/>
  <c r="E10" i="14"/>
  <c r="E10" i="12"/>
  <c r="E14" i="19"/>
  <c r="E12" i="31"/>
  <c r="E11" i="29"/>
  <c r="E12" i="23"/>
  <c r="E13" i="15"/>
  <c r="C11" i="3"/>
  <c r="T8" i="10"/>
  <c r="V8" i="10" s="1"/>
  <c r="C18" i="28"/>
  <c r="S19" i="10" s="1"/>
  <c r="R19" i="10"/>
  <c r="E11" i="11"/>
  <c r="E14" i="18"/>
  <c r="E13" i="31"/>
  <c r="E11" i="23"/>
  <c r="E12" i="15"/>
  <c r="E13" i="25"/>
  <c r="E14" i="27"/>
  <c r="E14" i="31"/>
  <c r="E11" i="14"/>
  <c r="E10" i="27"/>
  <c r="E14" i="23"/>
  <c r="E14" i="16"/>
  <c r="E10" i="18"/>
  <c r="C20" i="3"/>
  <c r="T17" i="10"/>
  <c r="V17" i="10" s="1"/>
  <c r="C17" i="17"/>
  <c r="C15" i="3"/>
  <c r="T12" i="10"/>
  <c r="V12" i="10" s="1"/>
  <c r="C18" i="3"/>
  <c r="T15" i="10"/>
  <c r="V15" i="10" s="1"/>
  <c r="C16" i="3"/>
  <c r="T13" i="10"/>
  <c r="V13" i="10" s="1"/>
  <c r="C18" i="21"/>
  <c r="S12" i="10" s="1"/>
  <c r="R12" i="10"/>
  <c r="E14" i="11"/>
  <c r="E14" i="25"/>
  <c r="E12" i="27"/>
  <c r="E13" i="11"/>
  <c r="E10" i="11"/>
  <c r="E10" i="19"/>
  <c r="E13" i="12"/>
  <c r="E10" i="31"/>
  <c r="E13" i="23"/>
  <c r="E12" i="14"/>
  <c r="E10" i="25"/>
  <c r="E14" i="29"/>
  <c r="E14" i="17"/>
  <c r="E13" i="18"/>
  <c r="E10" i="23"/>
  <c r="E11" i="15"/>
  <c r="E13" i="14"/>
  <c r="E11" i="27"/>
  <c r="E10" i="16"/>
  <c r="E12" i="16"/>
  <c r="E11" i="12"/>
  <c r="E11" i="31"/>
  <c r="E10" i="29"/>
  <c r="E13" i="17"/>
  <c r="E14" i="14"/>
  <c r="E13" i="27"/>
  <c r="C24" i="3"/>
  <c r="T21" i="10"/>
  <c r="V21" i="10" s="1"/>
  <c r="C7" i="3"/>
  <c r="T4" i="10"/>
  <c r="V4" i="10" s="1"/>
  <c r="C17" i="14"/>
  <c r="C20" i="14"/>
  <c r="C17" i="12"/>
  <c r="C20" i="12"/>
  <c r="C17" i="27"/>
  <c r="C20" i="27"/>
  <c r="C17" i="18"/>
  <c r="C20" i="18"/>
  <c r="C17" i="29"/>
  <c r="C20" i="29"/>
  <c r="C17" i="15"/>
  <c r="C20" i="15"/>
  <c r="C17" i="16"/>
  <c r="C20" i="16"/>
  <c r="C17" i="23"/>
  <c r="C20" i="23"/>
  <c r="C17" i="11"/>
  <c r="C20" i="11"/>
  <c r="C17" i="19"/>
  <c r="C20" i="19"/>
  <c r="C17" i="31"/>
  <c r="C20" i="31"/>
  <c r="C17" i="25"/>
  <c r="C20" i="25"/>
  <c r="E14" i="12"/>
  <c r="E13" i="16"/>
  <c r="E12" i="18"/>
  <c r="E12" i="19"/>
  <c r="E14" i="15"/>
  <c r="E11" i="25"/>
  <c r="E13" i="29"/>
  <c r="C18" i="17" l="1"/>
  <c r="S8" i="10" s="1"/>
  <c r="R8" i="10"/>
  <c r="C18" i="14"/>
  <c r="S5" i="10" s="1"/>
  <c r="R5" i="10"/>
  <c r="U5" i="10"/>
  <c r="C19" i="14"/>
  <c r="R3" i="10"/>
  <c r="C18" i="12"/>
  <c r="S3" i="10" s="1"/>
  <c r="U3" i="10"/>
  <c r="C19" i="12"/>
  <c r="C18" i="27"/>
  <c r="S18" i="10" s="1"/>
  <c r="R18" i="10"/>
  <c r="U18" i="10"/>
  <c r="C19" i="27"/>
  <c r="C18" i="18"/>
  <c r="S9" i="10" s="1"/>
  <c r="R9" i="10"/>
  <c r="U9" i="10"/>
  <c r="C19" i="18"/>
  <c r="C18" i="29"/>
  <c r="S20" i="10" s="1"/>
  <c r="R20" i="10"/>
  <c r="U20" i="10"/>
  <c r="C19" i="29"/>
  <c r="C18" i="15"/>
  <c r="S6" i="10" s="1"/>
  <c r="R6" i="10"/>
  <c r="U6" i="10"/>
  <c r="C19" i="15"/>
  <c r="C18" i="16"/>
  <c r="S7" i="10" s="1"/>
  <c r="R7" i="10"/>
  <c r="U7" i="10"/>
  <c r="C19" i="16"/>
  <c r="R14" i="10"/>
  <c r="C18" i="23"/>
  <c r="S14" i="10" s="1"/>
  <c r="U14" i="10"/>
  <c r="C19" i="23"/>
  <c r="C18" i="11"/>
  <c r="S2" i="10" s="1"/>
  <c r="R2" i="10"/>
  <c r="U2" i="10"/>
  <c r="C19" i="11"/>
  <c r="C18" i="19"/>
  <c r="S10" i="10" s="1"/>
  <c r="R10" i="10"/>
  <c r="U10" i="10"/>
  <c r="C19" i="19"/>
  <c r="C18" i="31"/>
  <c r="S22" i="10" s="1"/>
  <c r="R22" i="10"/>
  <c r="U22" i="10"/>
  <c r="C19" i="31"/>
  <c r="C18" i="25"/>
  <c r="S16" i="10" s="1"/>
  <c r="R16" i="10"/>
  <c r="U16" i="10"/>
  <c r="C19" i="25"/>
  <c r="C8" i="3" l="1"/>
  <c r="T5" i="10"/>
  <c r="V5" i="10" s="1"/>
  <c r="C6" i="3"/>
  <c r="T3" i="10"/>
  <c r="V3" i="10" s="1"/>
  <c r="C21" i="3"/>
  <c r="T18" i="10"/>
  <c r="V18" i="10" s="1"/>
  <c r="C12" i="3"/>
  <c r="T9" i="10"/>
  <c r="V9" i="10" s="1"/>
  <c r="C23" i="3"/>
  <c r="T20" i="10"/>
  <c r="V20" i="10" s="1"/>
  <c r="C9" i="3"/>
  <c r="T6" i="10"/>
  <c r="V6" i="10" s="1"/>
  <c r="C10" i="3"/>
  <c r="T7" i="10"/>
  <c r="V7" i="10" s="1"/>
  <c r="C17" i="3"/>
  <c r="T14" i="10"/>
  <c r="V14" i="10" s="1"/>
  <c r="C5" i="3"/>
  <c r="T2" i="10"/>
  <c r="V2" i="10" s="1"/>
  <c r="C13" i="3"/>
  <c r="T10" i="10"/>
  <c r="V10" i="10" s="1"/>
  <c r="C25" i="3"/>
  <c r="T22" i="10"/>
  <c r="V22" i="10" s="1"/>
  <c r="C19" i="3"/>
  <c r="T16" i="10"/>
  <c r="V16" i="10" s="1"/>
  <c r="C4" i="3" l="1"/>
  <c r="D16" i="7"/>
  <c r="C18" i="7"/>
  <c r="D19" i="7"/>
  <c r="C22" i="7"/>
  <c r="C24" i="7"/>
  <c r="D26" i="7"/>
  <c r="D27" i="7"/>
  <c r="C17" i="7"/>
  <c r="D18" i="7"/>
  <c r="C21" i="7"/>
  <c r="C23" i="7"/>
  <c r="C27" i="7"/>
  <c r="D17" i="7"/>
  <c r="C20" i="7"/>
  <c r="D21" i="7"/>
  <c r="D22" i="7"/>
  <c r="D23" i="7"/>
  <c r="D24" i="7"/>
  <c r="C25" i="7"/>
  <c r="C28" i="7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C19" i="7"/>
  <c r="D20" i="7"/>
  <c r="D25" i="7"/>
  <c r="C26" i="7"/>
  <c r="D28" i="7"/>
  <c r="B7" i="6" l="1" a="1"/>
  <c r="B7" i="6" s="1"/>
  <c r="B8" i="6" a="1"/>
  <c r="B8" i="6" s="1"/>
  <c r="B9" i="6" a="1"/>
  <c r="B9" i="6" s="1"/>
  <c r="B10" i="6" a="1"/>
  <c r="B10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18" i="6" a="1"/>
  <c r="B18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3" i="6"/>
  <c r="B6" i="6" a="1"/>
  <c r="B6" i="6" s="1"/>
  <c r="B9" i="7" a="1"/>
  <c r="B9" i="7" s="1"/>
  <c r="B10" i="7" a="1"/>
  <c r="B10" i="7" s="1"/>
  <c r="B11" i="7" a="1"/>
  <c r="B11" i="7" s="1"/>
  <c r="B12" i="7" a="1"/>
  <c r="B12" i="7" s="1"/>
  <c r="B13" i="7" a="1"/>
  <c r="B13" i="7" s="1"/>
  <c r="B14" i="7" a="1"/>
  <c r="B14" i="7" s="1"/>
  <c r="B15" i="7" a="1"/>
  <c r="B15" i="7" s="1"/>
  <c r="B16" i="7" a="1"/>
  <c r="B16" i="7" s="1"/>
  <c r="B17" i="7" a="1"/>
  <c r="B17" i="7" s="1"/>
  <c r="B18" i="7" a="1"/>
  <c r="B18" i="7" s="1"/>
  <c r="B22" i="7" a="1"/>
  <c r="B22" i="7" s="1"/>
  <c r="B23" i="7" a="1"/>
  <c r="B23" i="7" s="1"/>
  <c r="B25" i="7" a="1"/>
  <c r="B25" i="7" s="1"/>
  <c r="B21" i="7" a="1"/>
  <c r="B21" i="7" s="1"/>
  <c r="B26" i="7" a="1"/>
  <c r="B26" i="7" s="1"/>
  <c r="B20" i="7" a="1"/>
  <c r="B20" i="7" s="1"/>
  <c r="B24" i="7" a="1"/>
  <c r="B24" i="7" s="1"/>
  <c r="B28" i="7" a="1"/>
  <c r="B28" i="7" s="1"/>
  <c r="B19" i="7" a="1"/>
  <c r="B19" i="7" s="1"/>
  <c r="B27" i="7" a="1"/>
  <c r="B27" i="7" s="1"/>
  <c r="B5" i="7"/>
  <c r="B8" i="7" a="1"/>
  <c r="B8" i="7" s="1"/>
</calcChain>
</file>

<file path=xl/sharedStrings.xml><?xml version="1.0" encoding="utf-8"?>
<sst xmlns="http://schemas.openxmlformats.org/spreadsheetml/2006/main" count="754" uniqueCount="207">
  <si>
    <t>JOE PAIGE'S TEAM</t>
  </si>
  <si>
    <t>← Back to PICK YOUR TEAM</t>
  </si>
  <si>
    <t>PICK YOUR CAPTAIN  (scores 2× points)</t>
  </si>
  <si>
    <t>Chinedu Chile</t>
  </si>
  <si>
    <t>Step 1: Pick 5 players.  Step 2: Choose your captain in the GOLD box above.</t>
  </si>
  <si>
    <t>SQUAD</t>
  </si>
  <si>
    <t>Slot</t>
  </si>
  <si>
    <t>Player</t>
  </si>
  <si>
    <t>Price</t>
  </si>
  <si>
    <t>Points</t>
  </si>
  <si>
    <t>Joe Paige</t>
  </si>
  <si>
    <t>Alfie Foley</t>
  </si>
  <si>
    <t>Lia Li</t>
  </si>
  <si>
    <t>Oscar Day-Duran</t>
  </si>
  <si>
    <t>TEAM SUMMARY</t>
  </si>
  <si>
    <t>Team Value</t>
  </si>
  <si>
    <t>Budget Left</t>
  </si>
  <si>
    <t>GW Score</t>
  </si>
  <si>
    <t>Team Status</t>
  </si>
  <si>
    <t>INPUT CELLS ARE GOLD.
Only the captain cell (C5) and the 5 player cells (C10:C14) should be edited.
Do NOT type 'CAPTAIN' anywhere in the squad.</t>
  </si>
  <si>
    <t>YEAR 11 FANTASY LEAGUE</t>
  </si>
  <si>
    <t>GAMEWEEK 1</t>
  </si>
  <si>
    <t xml:space="preserve">  GAMEWEEK 1: Biology and English  </t>
  </si>
  <si>
    <t xml:space="preserve"> GAMEWEEK 1</t>
  </si>
  <si>
    <t>CURRENT GAMEWEEK:</t>
  </si>
  <si>
    <t>HOW TO PLAY</t>
  </si>
  <si>
    <t>1.  Go to PICK YOUR TEAM and click your name.</t>
  </si>
  <si>
    <t>2.  Pick 5 players from the dropdowns.</t>
  </si>
  <si>
    <t>3.  Pick 1 captain using the GOLD CAPTAIN BOX.</t>
  </si>
  <si>
    <t>4.  Stay under the £50m budget.</t>
  </si>
  <si>
    <t>5.  Enter your own test % on TEST RESULTS after each test.</t>
  </si>
  <si>
    <t>HOW POINTS WORK</t>
  </si>
  <si>
    <t>Your score is compared to the CLASS AVERAGE.
Average = 5 points. Every small step above = +1. Every step below = −1.</t>
  </si>
  <si>
    <t>Well above average</t>
  </si>
  <si>
    <t>High points</t>
  </si>
  <si>
    <t>Slightly above</t>
  </si>
  <si>
    <t>6–7 points</t>
  </si>
  <si>
    <t>Exactly average</t>
  </si>
  <si>
    <t>5 points</t>
  </si>
  <si>
    <t>Slightly below</t>
  </si>
  <si>
    <t>3–4 points</t>
  </si>
  <si>
    <t>Well below</t>
  </si>
  <si>
    <t>0–1 points</t>
  </si>
  <si>
    <t>HOW PRICES WORK</t>
  </si>
  <si>
    <t>Prices move based on your 3-WEEK FORM vs the class average.
Cheap players rise faster. Expensive players rise slower.</t>
  </si>
  <si>
    <t>No changes first 2 weeks</t>
  </si>
  <si>
    <t>Settling in</t>
  </si>
  <si>
    <t>Week 3 onward</t>
  </si>
  <si>
    <t>Prices move based on form</t>
  </si>
  <si>
    <t>Beating average consistently</t>
  </si>
  <si>
    <t>Price rises up to +£0.5m/week</t>
  </si>
  <si>
    <t>Below average consistently</t>
  </si>
  <si>
    <t>Price falls up to -£0.5m/week</t>
  </si>
  <si>
    <t>Bounds</t>
  </si>
  <si>
    <t>£7.0m  to  £13.0m</t>
  </si>
  <si>
    <t>SETTINGS and RULES sheets have more detail. Ask Mr C if anything is unclear.</t>
  </si>
  <si>
    <t>RULES &amp; HOW TO PLAY</t>
  </si>
  <si>
    <t>BUDGET</t>
  </si>
  <si>
    <t>£50.0m per manager. Pick exactly 5 players.</t>
  </si>
  <si>
    <t>CAPTAIN</t>
  </si>
  <si>
    <t>Pick 1 captain using the GOLD box on your team sheet. Captain scores 2× points.</t>
  </si>
  <si>
    <t>DEADLINE</t>
  </si>
  <si>
    <t>Set on HOME each gameweek.</t>
  </si>
  <si>
    <t>TEST DATE</t>
  </si>
  <si>
    <t>RESULT ENTRY</t>
  </si>
  <si>
    <t>Each student enters their own test % on TEST RESULTS.</t>
  </si>
  <si>
    <t>POINTS</t>
  </si>
  <si>
    <t>Based on class average. Average = 5 pts. Every step above/below = ±1 pt. Step size adjusts to class spread. Capped 0–10.</t>
  </si>
  <si>
    <t>PRICE CHANGES</t>
  </si>
  <si>
    <t>Move based on 3-week form vs class average. First 2 weeks: no change. Week 3 onward: max ±£0.5m per week.</t>
  </si>
  <si>
    <t>PRICE SCALING</t>
  </si>
  <si>
    <t>Cheap players rise faster (×1.0). Mid-price ×0.75. Expensive ×0.5.</t>
  </si>
  <si>
    <t>PRICE LIMITS</t>
  </si>
  <si>
    <t>Minimum £7.0m. Maximum £13.0m.</t>
  </si>
  <si>
    <t>TRANSFERS</t>
  </si>
  <si>
    <t>Unlimited free transfers between gameweeks.</t>
  </si>
  <si>
    <t>GOLDEN RULE</t>
  </si>
  <si>
    <t>Pick 5 players + captain, enter your test score. Excel does the rest.</t>
  </si>
  <si>
    <t>PICK YOUR TEAM</t>
  </si>
  <si>
    <t>Click your name to jump to your team sheet.</t>
  </si>
  <si>
    <t>Manager</t>
  </si>
  <si>
    <t>Alexa Amesimeku</t>
  </si>
  <si>
    <t>Alyza Rai</t>
  </si>
  <si>
    <t>Ava Swinfen</t>
  </si>
  <si>
    <t>Azlan Husain</t>
  </si>
  <si>
    <t>Daniel Liu</t>
  </si>
  <si>
    <t>David Wu</t>
  </si>
  <si>
    <t>Edwin Mayers</t>
  </si>
  <si>
    <t>Emily Warburton</t>
  </si>
  <si>
    <t>Esme Beston</t>
  </si>
  <si>
    <t>Iona Smith</t>
  </si>
  <si>
    <t>Melody Zhaeentan</t>
  </si>
  <si>
    <t>Nina De Saram</t>
  </si>
  <si>
    <t>Rebecca Seymour</t>
  </si>
  <si>
    <t>Rory Bowman</t>
  </si>
  <si>
    <t>Sophie Barker</t>
  </si>
  <si>
    <t>Xander Meijer</t>
  </si>
  <si>
    <t>PLAYER MARKET</t>
  </si>
  <si>
    <t>Prices  •  This week's change  •  Ownership</t>
  </si>
  <si>
    <t>Change</t>
  </si>
  <si>
    <t>Ownership %</t>
  </si>
  <si>
    <t>PRICE RULES
Prices move based on 3-week form vs class average.
First 2 gameweeks: no changes.  Min £7.0m  •  Max £13.0m</t>
  </si>
  <si>
    <t>TEST RESULTS</t>
  </si>
  <si>
    <t xml:space="preserve">Enter your test scores. </t>
  </si>
  <si>
    <t>Test name: English and Biology</t>
  </si>
  <si>
    <t>Student</t>
  </si>
  <si>
    <t>N/A</t>
  </si>
  <si>
    <t>Score</t>
  </si>
  <si>
    <t xml:space="preserve">Enter a whole number 0–100 in the gold cells.
</t>
  </si>
  <si>
    <t>OVERALL LEADERBOARD</t>
  </si>
  <si>
    <t>All gameweeks combined  •  Sorted by points</t>
  </si>
  <si>
    <t>Rank</t>
  </si>
  <si>
    <t>Overall Points</t>
  </si>
  <si>
    <t>GAMEWEEK LEADERBOARD</t>
  </si>
  <si>
    <t>This gameweek only  •  Sorted by points</t>
  </si>
  <si>
    <t>GW Points</t>
  </si>
  <si>
    <t>SETTINGS — CONTROL PANEL</t>
  </si>
  <si>
    <t>Change the numbers below to update the whole league. Only gold cells are editable.</t>
  </si>
  <si>
    <t>GAME RULES</t>
  </si>
  <si>
    <t>Setting</t>
  </si>
  <si>
    <t>Value</t>
  </si>
  <si>
    <t>Notes</t>
  </si>
  <si>
    <t>Baseline points (at avg)</t>
  </si>
  <si>
    <t>Points for scoring exactly the class average</t>
  </si>
  <si>
    <t>Dynamic step divisor</t>
  </si>
  <si>
    <t>Class range (max−min) ÷ this = step size</t>
  </si>
  <si>
    <t>Minimum points</t>
  </si>
  <si>
    <t>Floor</t>
  </si>
  <si>
    <t>Maximum points</t>
  </si>
  <si>
    <t>Ceiling</t>
  </si>
  <si>
    <t>Max weekly price change</t>
  </si>
  <si>
    <t>Absolute cap per week (£m)</t>
  </si>
  <si>
    <t>Tier multiplier (low)</t>
  </si>
  <si>
    <t>£7.0–8.9m price band multiplier</t>
  </si>
  <si>
    <t>Tier multiplier (mid)</t>
  </si>
  <si>
    <t>£9.0–10.9m price band multiplier</t>
  </si>
  <si>
    <t>Tier multiplier (high)</t>
  </si>
  <si>
    <t>£11.0–13.0m price band multiplier</t>
  </si>
  <si>
    <t>Price change step</t>
  </si>
  <si>
    <t>Ladder increment (£m)</t>
  </si>
  <si>
    <t>Minimum price</t>
  </si>
  <si>
    <t>Floor (£m)</t>
  </si>
  <si>
    <t>Maximum price</t>
  </si>
  <si>
    <t>Ceiling (£m)</t>
  </si>
  <si>
    <t>Price changes start at week</t>
  </si>
  <si>
    <t>First week that price changes apply</t>
  </si>
  <si>
    <t>Tests per gameweek</t>
  </si>
  <si>
    <t>How many test columns count this week (1-5). Others are greyed out.</t>
  </si>
  <si>
    <t>Captain multiplier</t>
  </si>
  <si>
    <t>Multiplier applied to captain's points (2 = double, 3 = triple)</t>
  </si>
  <si>
    <t>PLAYER PRICES</t>
  </si>
  <si>
    <t>Base</t>
  </si>
  <si>
    <t>Cumulative</t>
  </si>
  <si>
    <t>Override</t>
  </si>
  <si>
    <t>Final</t>
  </si>
  <si>
    <t>Dropdown</t>
  </si>
  <si>
    <t>WEEKLY PRICE LOG (auto-written by advance script)</t>
  </si>
  <si>
    <t>GW1</t>
  </si>
  <si>
    <t>GW2</t>
  </si>
  <si>
    <t>GW3</t>
  </si>
  <si>
    <t>GW4</t>
  </si>
  <si>
    <t>GW5</t>
  </si>
  <si>
    <t>GW6</t>
  </si>
  <si>
    <t>GW7</t>
  </si>
  <si>
    <t>GW8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</si>
  <si>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</si>
  <si>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</si>
  <si>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</si>
  <si>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</si>
  <si>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</si>
  <si>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</si>
  <si>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</si>
  <si>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</si>
  <si>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</si>
  <si>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</si>
  <si>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</si>
  <si>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</si>
  <si>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Current</t>
  </si>
  <si>
    <t>Pts</t>
  </si>
  <si>
    <t>P1</t>
  </si>
  <si>
    <t>P2</t>
  </si>
  <si>
    <t>P3</t>
  </si>
  <si>
    <t>P4</t>
  </si>
  <si>
    <t>P5</t>
  </si>
  <si>
    <t>Captain</t>
  </si>
  <si>
    <t>Status</t>
  </si>
  <si>
    <t>Tiebreak</t>
  </si>
  <si>
    <t>ALEXA AMESIMEKU'S TEAM</t>
  </si>
  <si>
    <t>ALFIE FOLEY'S TEAM</t>
  </si>
  <si>
    <t>ALYZA RAI'S TEAM</t>
  </si>
  <si>
    <t>AVA SWINFEN'S TEAM</t>
  </si>
  <si>
    <t>AZLAN HUSAIN'S TEAM</t>
  </si>
  <si>
    <t>CHINEDU CHILE'S TEAM</t>
  </si>
  <si>
    <t>DANIEL LIU'S TEAM</t>
  </si>
  <si>
    <t>DAVID WU'S TEAM</t>
  </si>
  <si>
    <t>EDWIN MAYERS'S TEAM</t>
  </si>
  <si>
    <t>EMILY WARBURTON'S TEAM</t>
  </si>
  <si>
    <t>ESME BESTON'S TEAM</t>
  </si>
  <si>
    <t>IONA SMITH'S TEAM</t>
  </si>
  <si>
    <t>LIA LI'S TEAM</t>
  </si>
  <si>
    <t>MELODY ZHAEENTAN'S TEAM</t>
  </si>
  <si>
    <t>NINA DE SARAM'S TEAM</t>
  </si>
  <si>
    <t>OSCAR DAY-DURAN'S TEAM</t>
  </si>
  <si>
    <t>REBECCA SEYMOUR'S TEAM</t>
  </si>
  <si>
    <t>RORY BOWMAN'S TEAM</t>
  </si>
  <si>
    <t>SOPHIE BARKER'S TEAM</t>
  </si>
  <si>
    <t>XANDER MEIJER'S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</si>
</sst>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£0.0&quot;m&quot;"/>
    <numFmt numFmtId="165" formatCode="&quot;▲ +£&quot;0.0&quot;m&quot;;&quot;▼ -£&quot;0.0&quot;m&quot;;&quot;— £0.0m&quot;"/>
    <numFmt numFmtId="166" formatCode="0&quot;%&quot;"/>
    <numFmt numFmtId="167" formatCode="0.0&quot;%&quot;"/>
    <numFmt numFmtId="168" formatCode="\+\£0.0&quot;m&quot;;\-\£0.0&quot;m&quot;;\—"/>
  </numFmts>
  <fonts count="24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i/>
      <sz val="12"/>
      <color rgb="FF6B7280"/>
      <name val="Calibri"/>
    </font>
    <font>
      <b/>
      <sz val="13"/>
      <color rgb="FFFFFFFF"/>
      <name val="Calibri"/>
    </font>
    <font>
      <b/>
      <sz val="12"/>
      <color rgb="FFFFFFFF"/>
      <name val="Calibri"/>
    </font>
    <font>
      <b/>
      <sz val="12"/>
      <color rgb="FF172033"/>
      <name val="Calibri"/>
    </font>
    <font>
      <b/>
      <sz val="12"/>
      <color rgb="FF0B1F3A"/>
      <name val="Calibri"/>
    </font>
    <font>
      <i/>
      <sz val="11"/>
      <color rgb="FF6B7280"/>
      <name val="Calibri"/>
    </font>
    <font>
      <sz val="12"/>
      <color rgb="FF172033"/>
      <name val="Calibri"/>
    </font>
    <font>
      <sz val="12"/>
      <color rgb="FF6B7280"/>
      <name val="Calibri"/>
    </font>
    <font>
      <b/>
      <sz val="16"/>
      <color rgb="FF1565C0"/>
      <name val="Calibri"/>
    </font>
    <font>
      <b/>
      <sz val="13"/>
      <color rgb="FF172033"/>
      <name val="Calibri"/>
    </font>
    <font>
      <b/>
      <sz val="12"/>
      <color rgb="FF6B7280"/>
      <name val="Calibri"/>
    </font>
    <font>
      <b/>
      <sz val="14"/>
      <color rgb="FF0B1F3A"/>
      <name val="Calibri"/>
    </font>
    <font>
      <b/>
      <u/>
      <sz val="12"/>
      <color rgb="FF1565C0"/>
      <name val="Calibri"/>
    </font>
    <font>
      <b/>
      <sz val="12"/>
      <color rgb="FF1565C0"/>
      <name val="Calibri"/>
    </font>
    <font>
      <b/>
      <sz val="13"/>
      <color rgb="FF0B1F3A"/>
      <name val="Calibri"/>
    </font>
    <font>
      <b/>
      <sz val="14"/>
      <color rgb="FF92400E"/>
      <name val="Calibri"/>
    </font>
    <font>
      <sz val="11"/>
      <name val="Calibri"/>
    </font>
    <font>
      <b/>
      <sz val="12"/>
      <color rgb="FF172033"/>
      <name val="Calibri"/>
    </font>
    <font>
      <b/>
      <sz val="12"/>
      <color rgb="FF0B1F3A"/>
      <name val="Calibri"/>
    </font>
    <font>
      <i/>
      <sz val="11"/>
      <color rgb="FF6B7280"/>
      <name val="Calibri"/>
    </font>
    <font>
      <b/>
      <sz val="12"/>
      <color rgb="FFFFFFFF"/>
      <name val="Calibri"/>
    </font>
    <font>
      <sz val="12"/>
      <color rgb="FF172033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AF2FF"/>
      </patternFill>
    </fill>
    <fill>
      <patternFill patternType="solid">
        <fgColor rgb="FFFEF3C7"/>
      </patternFill>
    </fill>
    <fill>
      <patternFill patternType="solid">
        <fgColor rgb="FFF5F9FF"/>
      </patternFill>
    </fill>
    <fill>
      <patternFill patternType="solid">
        <fgColor rgb="FF0B1F3A"/>
      </patternFill>
    </fill>
    <fill>
      <patternFill patternType="solid">
        <fgColor rgb="FF475569"/>
      </patternFill>
    </fill>
    <fill>
      <patternFill patternType="solid">
        <fgColor rgb="FFFFFFFF"/>
      </patternFill>
    </fill>
    <fill>
      <patternFill patternType="solid">
        <fgColor rgb="FFEAF2FF"/>
      </patternFill>
    </fill>
    <fill>
      <patternFill patternType="solid">
        <fgColor rgb="FFFEF3C7"/>
      </patternFill>
    </fill>
    <fill>
      <patternFill patternType="solid">
        <fgColor rgb="FFF5F9FF"/>
      </patternFill>
    </fill>
    <fill>
      <patternFill patternType="solid">
        <fgColor rgb="FF0B1F3A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/>
      <diagonal/>
    </border>
    <border>
      <left/>
      <right/>
      <top/>
      <bottom style="medium">
        <color rgb="FF1565C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medium">
        <color rgb="FF1565C0"/>
      </bottom>
      <diagonal/>
    </border>
  </borders>
  <cellStyleXfs count="1">
    <xf numFmtId="0" fontId="0" fillId="0" borderId="11"/>
  </cellStyleXfs>
  <cellXfs count="88">
    <xf numFmtId="0" fontId="0" fillId="0" borderId="0" xfId="0" applyBorder="1"/>
    <xf numFmtId="0" fontId="12" fillId="0" borderId="0" xfId="0" applyFont="1" applyBorder="1" applyAlignment="1">
      <alignment horizontal="right" vertical="center"/>
    </xf>
    <xf numFmtId="0" fontId="18" fillId="0" borderId="11" xfId="0" applyFont="1"/>
    <xf numFmtId="0" fontId="13" fillId="4" borderId="10" xfId="0" applyFont="1" applyFill="1" applyBorder="1" applyAlignment="1" applyProtection="1">
      <alignment horizontal="center" vertical="center"/>
      <protection locked="0"/>
    </xf>
    <xf numFmtId="0" fontId="8" fillId="5" borderId="10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left" vertical="center" wrapText="1" indent="1"/>
    </xf>
    <xf numFmtId="0" fontId="4" fillId="6" borderId="12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left" vertical="center" indent="1"/>
    </xf>
    <xf numFmtId="0" fontId="8" fillId="5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left" vertical="center"/>
    </xf>
    <xf numFmtId="164" fontId="5" fillId="8" borderId="10" xfId="0" applyNumberFormat="1" applyFont="1" applyFill="1" applyBorder="1" applyAlignment="1">
      <alignment horizontal="center" vertical="center"/>
    </xf>
    <xf numFmtId="165" fontId="5" fillId="8" borderId="10" xfId="0" applyNumberFormat="1" applyFont="1" applyFill="1" applyBorder="1" applyAlignment="1">
      <alignment horizontal="center" vertical="center"/>
    </xf>
    <xf numFmtId="9" fontId="8" fillId="8" borderId="10" xfId="0" applyNumberFormat="1" applyFont="1" applyFill="1" applyBorder="1" applyAlignment="1">
      <alignment horizontal="center" vertical="center"/>
    </xf>
    <xf numFmtId="164" fontId="5" fillId="5" borderId="10" xfId="0" applyNumberFormat="1" applyFont="1" applyFill="1" applyBorder="1" applyAlignment="1">
      <alignment horizontal="center" vertical="center"/>
    </xf>
    <xf numFmtId="165" fontId="5" fillId="5" borderId="10" xfId="0" applyNumberFormat="1" applyFont="1" applyFill="1" applyBorder="1" applyAlignment="1">
      <alignment horizontal="center" vertical="center"/>
    </xf>
    <xf numFmtId="9" fontId="8" fillId="5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left" vertical="center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4" fillId="7" borderId="10" xfId="0" applyFont="1" applyFill="1" applyBorder="1" applyAlignment="1">
      <alignment horizontal="center" vertical="center"/>
    </xf>
    <xf numFmtId="166" fontId="4" fillId="6" borderId="12" xfId="0" applyNumberFormat="1" applyFont="1" applyFill="1" applyBorder="1" applyAlignment="1">
      <alignment horizontal="center" vertical="center"/>
    </xf>
    <xf numFmtId="166" fontId="8" fillId="4" borderId="10" xfId="0" applyNumberFormat="1" applyFont="1" applyFill="1" applyBorder="1" applyAlignment="1" applyProtection="1">
      <alignment horizontal="center" vertical="center"/>
      <protection locked="0"/>
    </xf>
    <xf numFmtId="167" fontId="5" fillId="3" borderId="10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left" vertical="center"/>
    </xf>
    <xf numFmtId="0" fontId="5" fillId="8" borderId="10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left" vertical="center"/>
    </xf>
    <xf numFmtId="164" fontId="8" fillId="8" borderId="10" xfId="0" applyNumberFormat="1" applyFont="1" applyFill="1" applyBorder="1" applyAlignment="1">
      <alignment horizontal="center" vertical="center"/>
    </xf>
    <xf numFmtId="168" fontId="9" fillId="8" borderId="10" xfId="0" applyNumberFormat="1" applyFont="1" applyFill="1" applyBorder="1" applyAlignment="1">
      <alignment horizontal="center" vertical="center"/>
    </xf>
    <xf numFmtId="164" fontId="6" fillId="4" borderId="10" xfId="0" applyNumberFormat="1" applyFont="1" applyFill="1" applyBorder="1" applyAlignment="1" applyProtection="1">
      <alignment horizontal="center" vertical="center"/>
      <protection locked="0"/>
    </xf>
    <xf numFmtId="164" fontId="5" fillId="3" borderId="10" xfId="0" applyNumberFormat="1" applyFont="1" applyFill="1" applyBorder="1" applyAlignment="1">
      <alignment horizontal="center" vertical="center"/>
    </xf>
    <xf numFmtId="164" fontId="8" fillId="5" borderId="10" xfId="0" applyNumberFormat="1" applyFont="1" applyFill="1" applyBorder="1" applyAlignment="1">
      <alignment horizontal="center" vertical="center"/>
    </xf>
    <xf numFmtId="168" fontId="9" fillId="5" borderId="10" xfId="0" applyNumberFormat="1" applyFont="1" applyFill="1" applyBorder="1" applyAlignment="1">
      <alignment horizontal="center" vertical="center"/>
    </xf>
    <xf numFmtId="168" fontId="8" fillId="8" borderId="10" xfId="0" applyNumberFormat="1" applyFont="1" applyFill="1" applyBorder="1" applyAlignment="1">
      <alignment horizontal="center" vertical="center"/>
    </xf>
    <xf numFmtId="168" fontId="8" fillId="5" borderId="10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left" vertical="center" indent="1"/>
    </xf>
    <xf numFmtId="0" fontId="5" fillId="5" borderId="10" xfId="0" applyFont="1" applyFill="1" applyBorder="1" applyAlignment="1">
      <alignment horizontal="center" vertical="center"/>
    </xf>
    <xf numFmtId="164" fontId="5" fillId="8" borderId="10" xfId="0" applyNumberFormat="1" applyFont="1" applyFill="1" applyBorder="1" applyAlignment="1">
      <alignment horizontal="left" vertical="center"/>
    </xf>
    <xf numFmtId="1" fontId="5" fillId="8" borderId="10" xfId="0" applyNumberFormat="1" applyFont="1" applyFill="1" applyBorder="1" applyAlignment="1">
      <alignment horizontal="left" vertical="center"/>
    </xf>
    <xf numFmtId="0" fontId="5" fillId="8" borderId="10" xfId="0" applyFont="1" applyFill="1" applyBorder="1" applyAlignment="1">
      <alignment horizontal="left" vertical="center" indent="1"/>
    </xf>
    <xf numFmtId="0" fontId="19" fillId="9" borderId="13" xfId="0" applyFont="1" applyFill="1" applyBorder="1" applyAlignment="1">
      <alignment horizontal="left" vertical="center"/>
    </xf>
    <xf numFmtId="0" fontId="20" fillId="10" borderId="13" xfId="0" applyFont="1" applyFill="1" applyBorder="1" applyAlignment="1" applyProtection="1">
      <alignment horizontal="center" vertical="center"/>
      <protection locked="0"/>
    </xf>
    <xf numFmtId="0" fontId="21" fillId="11" borderId="13" xfId="0" applyFont="1" applyFill="1" applyBorder="1" applyAlignment="1">
      <alignment horizontal="left" vertical="center"/>
    </xf>
    <xf numFmtId="0" fontId="22" fillId="12" borderId="14" xfId="0" applyFont="1" applyFill="1" applyBorder="1" applyAlignment="1">
      <alignment horizontal="center" vertical="center"/>
    </xf>
    <xf numFmtId="0" fontId="23" fillId="11" borderId="13" xfId="0" applyFont="1" applyFill="1" applyBorder="1" applyAlignment="1">
      <alignment horizontal="left" vertical="center"/>
    </xf>
    <xf numFmtId="0" fontId="19" fillId="13" borderId="13" xfId="0" applyFont="1" applyFill="1" applyBorder="1" applyAlignment="1">
      <alignment horizontal="left" vertical="center"/>
    </xf>
    <xf numFmtId="0" fontId="23" fillId="13" borderId="13" xfId="0" applyFont="1" applyFill="1" applyBorder="1" applyAlignment="1">
      <alignment horizontal="left" vertical="center"/>
    </xf>
    <xf numFmtId="0" fontId="8" fillId="8" borderId="11" xfId="0" applyFont="1" applyFill="1" applyAlignment="1">
      <alignment horizontal="left" vertical="center"/>
    </xf>
    <xf numFmtId="164" fontId="8" fillId="8" borderId="11" xfId="0" applyNumberFormat="1" applyFont="1" applyFill="1" applyAlignment="1">
      <alignment horizontal="center" vertical="center"/>
    </xf>
    <xf numFmtId="168" fontId="9" fillId="8" borderId="11" xfId="0" applyNumberFormat="1" applyFont="1" applyFill="1" applyAlignment="1">
      <alignment horizontal="center" vertical="center"/>
    </xf>
    <xf numFmtId="164" fontId="6" fillId="4" borderId="11" xfId="0" applyNumberFormat="1" applyFont="1" applyFill="1" applyAlignment="1" applyProtection="1">
      <alignment horizontal="center" vertical="center"/>
      <protection locked="0"/>
    </xf>
    <xf numFmtId="164" fontId="5" fillId="3" borderId="11" xfId="0" applyNumberFormat="1" applyFont="1" applyFill="1" applyAlignment="1">
      <alignment horizontal="center" vertical="center"/>
    </xf>
    <xf numFmtId="0" fontId="0" fillId="0" borderId="11" xfId="0"/>
    <xf numFmtId="0" fontId="23" fillId="11" borderId="11" xfId="0" applyFont="1" applyFill="1" applyAlignment="1">
      <alignment horizontal="left" vertical="center"/>
    </xf>
    <xf numFmtId="0" fontId="1" fillId="6" borderId="11" xfId="0" applyFont="1" applyFill="1" applyAlignment="1">
      <alignment horizontal="left" vertical="center" indent="1"/>
    </xf>
    <xf numFmtId="0" fontId="0" fillId="0" borderId="0" xfId="0" applyBorder="1"/>
    <xf numFmtId="0" fontId="18" fillId="0" borderId="11" xfId="0" applyFont="1"/>
    <xf numFmtId="0" fontId="15" fillId="0" borderId="11" xfId="0" applyFont="1" applyAlignment="1">
      <alignment horizontal="left" vertical="center" indent="1"/>
    </xf>
    <xf numFmtId="0" fontId="8" fillId="4" borderId="10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11" xfId="0" applyFont="1" applyAlignment="1">
      <alignment horizontal="left" vertical="center" indent="1"/>
    </xf>
    <xf numFmtId="0" fontId="11" fillId="3" borderId="11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8" fillId="0" borderId="10" xfId="0" applyFont="1" applyBorder="1" applyAlignment="1">
      <alignment horizontal="left" vertical="center" indent="1"/>
    </xf>
    <xf numFmtId="0" fontId="8" fillId="5" borderId="10" xfId="0" applyFont="1" applyFill="1" applyBorder="1" applyAlignment="1">
      <alignment horizontal="left" vertical="center"/>
    </xf>
    <xf numFmtId="0" fontId="3" fillId="2" borderId="11" xfId="0" applyFont="1" applyFill="1" applyAlignment="1">
      <alignment horizontal="left" vertical="center" indent="1"/>
    </xf>
    <xf numFmtId="0" fontId="8" fillId="5" borderId="10" xfId="0" applyFont="1" applyFill="1" applyBorder="1" applyAlignment="1">
      <alignment horizontal="left" vertical="center" indent="1"/>
    </xf>
    <xf numFmtId="0" fontId="10" fillId="0" borderId="11" xfId="0" applyFont="1" applyAlignment="1">
      <alignment horizontal="left" vertical="center" indent="1"/>
    </xf>
    <xf numFmtId="0" fontId="2" fillId="0" borderId="11" xfId="0" applyFont="1" applyAlignment="1">
      <alignment horizontal="left" vertical="center" indent="1"/>
    </xf>
    <xf numFmtId="0" fontId="8" fillId="3" borderId="10" xfId="0" applyFont="1" applyFill="1" applyBorder="1" applyAlignment="1">
      <alignment horizontal="left" vertical="center"/>
    </xf>
    <xf numFmtId="0" fontId="17" fillId="4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left" vertical="center"/>
    </xf>
    <xf numFmtId="0" fontId="14" fillId="0" borderId="11" xfId="0" applyFont="1" applyAlignment="1">
      <alignment horizontal="left" vertical="center" indent="1"/>
    </xf>
    <xf numFmtId="0" fontId="19" fillId="9" borderId="11" xfId="0" applyFont="1" applyFill="1" applyBorder="1" applyAlignment="1">
      <alignment horizontal="left" vertical="center"/>
    </xf>
    <xf numFmtId="0" fontId="20" fillId="10" borderId="11" xfId="0" applyFont="1" applyFill="1" applyBorder="1" applyAlignment="1" applyProtection="1">
      <alignment horizontal="center" vertical="center"/>
      <protection locked="0"/>
    </xf>
    <xf numFmtId="0" fontId="21" fillId="11" borderId="11" xfId="0" applyFont="1" applyFill="1" applyBorder="1" applyAlignment="1">
      <alignment horizontal="left" vertical="center"/>
    </xf>
    <xf numFmtId="0" fontId="0" fillId="0" borderId="11" xfId="0" applyBorder="1"/>
  </cellXfs>
  <cellStyles count="1">
    <cellStyle name="Normal" xfId="0" builtinId="0"/>
  </cellStyles>
  <dxfs count="74"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sz val="12"/>
        <color rgb="FF0B1F3A"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9A3412"/>
      </font>
      <fill>
        <patternFill patternType="solid">
          <fgColor rgb="FFFED7AA"/>
        </patternFill>
      </fill>
    </dxf>
    <dxf>
      <font>
        <b/>
        <color rgb="FF374151"/>
      </font>
      <fill>
        <patternFill patternType="solid">
          <fgColor rgb="FFE5E7EB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A3412"/>
      </font>
      <fill>
        <patternFill patternType="solid">
          <fgColor rgb="FFFED7AA"/>
        </patternFill>
      </fill>
    </dxf>
    <dxf>
      <font>
        <b/>
        <color rgb="FF374151"/>
      </font>
      <fill>
        <patternFill patternType="solid">
          <fgColor rgb="FFE5E7EB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6B7280"/>
      </font>
      <fill>
        <patternFill patternType="solid">
          <fgColor rgb="FFF3F4F6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16A34A"/>
      </font>
      <fill>
        <patternFill>
          <bgColor rgb="FFDCFCE7"/>
        </patternFill>
      </fill>
    </dxf>
    <dxf>
      <font>
        <b/>
        <color rgb="FFDC2626"/>
      </font>
      <fill>
        <patternFill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B1:G36"/>
  <sheetViews>
    <sheetView showGridLines="0" zoomScale="90" workbookViewId="0">
      <selection activeCell="S9" sqref="S9"/>
    </sheetView>
  </sheetViews>
  <sheetFormatPr defaultRowHeight="15" x14ac:dyDescent="0.25"/>
  <cols>
    <col min="1" max="1" width="4" customWidth="1"/>
    <col min="2" max="2" width="28" customWidth="1"/>
    <col min="3" max="7" width="26" customWidth="1"/>
    <col min="8" max="8" width="4" customWidth="1"/>
  </cols>
  <sheetData>
    <row r="1" spans="2:7" ht="51.95" customHeight="1" x14ac:dyDescent="0.25">
      <c r="B1" s="57" t="s">
        <v>20</v>
      </c>
      <c r="C1" s="58"/>
      <c r="D1" s="58"/>
      <c r="E1" s="58"/>
      <c r="F1" s="58"/>
      <c r="G1" s="58"/>
    </row>
    <row r="2" spans="2:7" ht="32.1" customHeight="1" x14ac:dyDescent="0.25">
      <c r="B2" s="78" t="s">
        <v>21</v>
      </c>
      <c r="C2" s="58"/>
      <c r="D2" s="58"/>
      <c r="E2" s="58"/>
      <c r="F2" s="58"/>
      <c r="G2" s="58"/>
    </row>
    <row r="3" spans="2:7" ht="12" customHeight="1" x14ac:dyDescent="0.25"/>
    <row r="4" spans="2:7" ht="33.950000000000003" customHeight="1" x14ac:dyDescent="0.25">
      <c r="B4" s="70" t="s">
        <v>22</v>
      </c>
      <c r="C4" s="58"/>
      <c r="D4" s="58"/>
      <c r="E4" s="58"/>
      <c r="F4" s="58"/>
      <c r="G4" s="58"/>
    </row>
    <row r="5" spans="2:7" ht="33.950000000000003" customHeight="1" x14ac:dyDescent="0.25">
      <c r="B5" s="70" t="s">
        <v>23</v>
      </c>
      <c r="C5" s="58"/>
      <c r="D5" s="58"/>
      <c r="E5" s="58"/>
      <c r="F5" s="58"/>
      <c r="G5" s="58"/>
    </row>
    <row r="6" spans="2:7" ht="12" customHeight="1" x14ac:dyDescent="0.25"/>
    <row r="7" spans="2:7" ht="30" customHeight="1" x14ac:dyDescent="0.25">
      <c r="B7" s="1" t="s">
        <v>24</v>
      </c>
      <c r="C7" s="3">
        <v>1</v>
      </c>
    </row>
    <row r="8" spans="2:7" ht="12" customHeight="1" x14ac:dyDescent="0.25"/>
    <row r="9" spans="2:7" ht="32.1" customHeight="1" x14ac:dyDescent="0.25">
      <c r="B9" s="76" t="s">
        <v>25</v>
      </c>
      <c r="C9" s="58"/>
      <c r="D9" s="58"/>
      <c r="E9" s="58"/>
      <c r="F9" s="58"/>
      <c r="G9" s="58"/>
    </row>
    <row r="10" spans="2:7" ht="30" customHeight="1" x14ac:dyDescent="0.25">
      <c r="B10" s="77" t="s">
        <v>26</v>
      </c>
      <c r="C10" s="72"/>
      <c r="D10" s="72"/>
      <c r="E10" s="72"/>
      <c r="F10" s="72"/>
      <c r="G10" s="73"/>
    </row>
    <row r="11" spans="2:7" ht="30" customHeight="1" x14ac:dyDescent="0.25">
      <c r="B11" s="77" t="s">
        <v>27</v>
      </c>
      <c r="C11" s="72"/>
      <c r="D11" s="72"/>
      <c r="E11" s="72"/>
      <c r="F11" s="72"/>
      <c r="G11" s="73"/>
    </row>
    <row r="12" spans="2:7" ht="30" customHeight="1" x14ac:dyDescent="0.25">
      <c r="B12" s="77" t="s">
        <v>28</v>
      </c>
      <c r="C12" s="72"/>
      <c r="D12" s="72"/>
      <c r="E12" s="72"/>
      <c r="F12" s="72"/>
      <c r="G12" s="73"/>
    </row>
    <row r="13" spans="2:7" ht="30" customHeight="1" x14ac:dyDescent="0.25">
      <c r="B13" s="77" t="s">
        <v>29</v>
      </c>
      <c r="C13" s="72"/>
      <c r="D13" s="72"/>
      <c r="E13" s="72"/>
      <c r="F13" s="72"/>
      <c r="G13" s="73"/>
    </row>
    <row r="14" spans="2:7" ht="30" customHeight="1" x14ac:dyDescent="0.25">
      <c r="B14" s="77" t="s">
        <v>30</v>
      </c>
      <c r="C14" s="72"/>
      <c r="D14" s="72"/>
      <c r="E14" s="72"/>
      <c r="F14" s="72"/>
      <c r="G14" s="73"/>
    </row>
    <row r="16" spans="2:7" ht="12" customHeight="1" x14ac:dyDescent="0.25"/>
    <row r="17" spans="2:7" ht="32.1" customHeight="1" x14ac:dyDescent="0.25">
      <c r="B17" s="76" t="s">
        <v>31</v>
      </c>
      <c r="C17" s="58"/>
      <c r="D17" s="58"/>
      <c r="E17" s="58"/>
      <c r="F17" s="58"/>
      <c r="G17" s="58"/>
    </row>
    <row r="18" spans="2:7" ht="24" customHeight="1" x14ac:dyDescent="0.25">
      <c r="B18" s="75" t="s">
        <v>32</v>
      </c>
      <c r="C18" s="62"/>
      <c r="D18" s="62"/>
      <c r="E18" s="62"/>
      <c r="F18" s="62"/>
      <c r="G18" s="63"/>
    </row>
    <row r="19" spans="2:7" ht="24" customHeight="1" x14ac:dyDescent="0.25">
      <c r="B19" s="66"/>
      <c r="C19" s="67"/>
      <c r="D19" s="67"/>
      <c r="E19" s="67"/>
      <c r="F19" s="67"/>
      <c r="G19" s="68"/>
    </row>
    <row r="20" spans="2:7" ht="26.1" customHeight="1" x14ac:dyDescent="0.25">
      <c r="B20" s="71" t="s">
        <v>33</v>
      </c>
      <c r="C20" s="73"/>
      <c r="D20" s="74" t="s">
        <v>34</v>
      </c>
      <c r="E20" s="72"/>
      <c r="F20" s="72"/>
      <c r="G20" s="73"/>
    </row>
    <row r="21" spans="2:7" ht="26.1" customHeight="1" x14ac:dyDescent="0.25">
      <c r="B21" s="71" t="s">
        <v>35</v>
      </c>
      <c r="C21" s="73"/>
      <c r="D21" s="74" t="s">
        <v>36</v>
      </c>
      <c r="E21" s="72"/>
      <c r="F21" s="72"/>
      <c r="G21" s="73"/>
    </row>
    <row r="22" spans="2:7" ht="26.1" customHeight="1" x14ac:dyDescent="0.25">
      <c r="B22" s="71" t="s">
        <v>37</v>
      </c>
      <c r="C22" s="73"/>
      <c r="D22" s="74" t="s">
        <v>38</v>
      </c>
      <c r="E22" s="72"/>
      <c r="F22" s="72"/>
      <c r="G22" s="73"/>
    </row>
    <row r="23" spans="2:7" ht="26.1" customHeight="1" x14ac:dyDescent="0.25">
      <c r="B23" s="71" t="s">
        <v>39</v>
      </c>
      <c r="C23" s="73"/>
      <c r="D23" s="74" t="s">
        <v>40</v>
      </c>
      <c r="E23" s="72"/>
      <c r="F23" s="72"/>
      <c r="G23" s="73"/>
    </row>
    <row r="24" spans="2:7" ht="26.1" customHeight="1" x14ac:dyDescent="0.25">
      <c r="B24" s="71" t="s">
        <v>41</v>
      </c>
      <c r="C24" s="73"/>
      <c r="D24" s="74" t="s">
        <v>42</v>
      </c>
      <c r="E24" s="72"/>
      <c r="F24" s="72"/>
      <c r="G24" s="73"/>
    </row>
    <row r="26" spans="2:7" ht="12" customHeight="1" x14ac:dyDescent="0.25"/>
    <row r="27" spans="2:7" ht="32.1" customHeight="1" x14ac:dyDescent="0.25">
      <c r="B27" s="76" t="s">
        <v>43</v>
      </c>
      <c r="C27" s="58"/>
      <c r="D27" s="58"/>
      <c r="E27" s="58"/>
      <c r="F27" s="58"/>
      <c r="G27" s="58"/>
    </row>
    <row r="28" spans="2:7" ht="24" customHeight="1" x14ac:dyDescent="0.25">
      <c r="B28" s="75" t="s">
        <v>44</v>
      </c>
      <c r="C28" s="62"/>
      <c r="D28" s="62"/>
      <c r="E28" s="62"/>
      <c r="F28" s="62"/>
      <c r="G28" s="63"/>
    </row>
    <row r="29" spans="2:7" ht="24" customHeight="1" x14ac:dyDescent="0.25">
      <c r="B29" s="66"/>
      <c r="C29" s="67"/>
      <c r="D29" s="67"/>
      <c r="E29" s="67"/>
      <c r="F29" s="67"/>
      <c r="G29" s="68"/>
    </row>
    <row r="30" spans="2:7" ht="26.1" customHeight="1" x14ac:dyDescent="0.25">
      <c r="B30" s="71" t="s">
        <v>45</v>
      </c>
      <c r="C30" s="72"/>
      <c r="D30" s="73"/>
      <c r="E30" s="74" t="s">
        <v>46</v>
      </c>
      <c r="F30" s="72"/>
      <c r="G30" s="73"/>
    </row>
    <row r="31" spans="2:7" ht="26.1" customHeight="1" x14ac:dyDescent="0.25">
      <c r="B31" s="71" t="s">
        <v>47</v>
      </c>
      <c r="C31" s="72"/>
      <c r="D31" s="73"/>
      <c r="E31" s="74" t="s">
        <v>48</v>
      </c>
      <c r="F31" s="72"/>
      <c r="G31" s="73"/>
    </row>
    <row r="32" spans="2:7" ht="26.1" customHeight="1" x14ac:dyDescent="0.25">
      <c r="B32" s="71" t="s">
        <v>49</v>
      </c>
      <c r="C32" s="72"/>
      <c r="D32" s="73"/>
      <c r="E32" s="74" t="s">
        <v>50</v>
      </c>
      <c r="F32" s="72"/>
      <c r="G32" s="73"/>
    </row>
    <row r="33" spans="2:7" ht="26.1" customHeight="1" x14ac:dyDescent="0.25">
      <c r="B33" s="71" t="s">
        <v>51</v>
      </c>
      <c r="C33" s="72"/>
      <c r="D33" s="73"/>
      <c r="E33" s="74" t="s">
        <v>52</v>
      </c>
      <c r="F33" s="72"/>
      <c r="G33" s="73"/>
    </row>
    <row r="34" spans="2:7" ht="26.1" customHeight="1" x14ac:dyDescent="0.25">
      <c r="B34" s="71" t="s">
        <v>53</v>
      </c>
      <c r="C34" s="72"/>
      <c r="D34" s="73"/>
      <c r="E34" s="74" t="s">
        <v>54</v>
      </c>
      <c r="F34" s="72"/>
      <c r="G34" s="73"/>
    </row>
    <row r="36" spans="2:7" ht="30" customHeight="1" x14ac:dyDescent="0.25">
      <c r="B36" s="69" t="s">
        <v>55</v>
      </c>
      <c r="C36" s="58"/>
      <c r="D36" s="58"/>
      <c r="E36" s="58"/>
      <c r="F36" s="58"/>
      <c r="G36" s="58"/>
    </row>
  </sheetData>
  <sheetProtection algorithmName="SHA-512" hashValue="gPfsALrggDvm55LjZn7R57g2yIXoSM98pC1DEC7CVIY2FpQzhrD4XssJIJRTob4/Tbz9xr0dKGsgqJOXwwZsCw==" saltValue="XU9A40SOC7wxglGKM52MQw==" spinCount="100000" sheet="1" formatCells="0" formatColumns="0" formatRows="0"/>
  <mergeCells count="35">
    <mergeCell ref="B1:G1"/>
    <mergeCell ref="D24:G24"/>
    <mergeCell ref="B10:G10"/>
    <mergeCell ref="B9:G9"/>
    <mergeCell ref="B18:G19"/>
    <mergeCell ref="B33:D33"/>
    <mergeCell ref="E32:G32"/>
    <mergeCell ref="D22:G22"/>
    <mergeCell ref="B2:G2"/>
    <mergeCell ref="B14:G14"/>
    <mergeCell ref="B17:G17"/>
    <mergeCell ref="E31:G31"/>
    <mergeCell ref="E30:G30"/>
    <mergeCell ref="B34:D34"/>
    <mergeCell ref="D23:G23"/>
    <mergeCell ref="B21:C21"/>
    <mergeCell ref="D20:G20"/>
    <mergeCell ref="B23:C23"/>
    <mergeCell ref="B30:D30"/>
    <mergeCell ref="B36:G36"/>
    <mergeCell ref="B5:G5"/>
    <mergeCell ref="B32:D32"/>
    <mergeCell ref="D21:G21"/>
    <mergeCell ref="B4:G4"/>
    <mergeCell ref="B24:C24"/>
    <mergeCell ref="E33:G33"/>
    <mergeCell ref="B28:G29"/>
    <mergeCell ref="B31:D31"/>
    <mergeCell ref="B20:C20"/>
    <mergeCell ref="B27:G27"/>
    <mergeCell ref="B12:G12"/>
    <mergeCell ref="B11:G11"/>
    <mergeCell ref="E34:G34"/>
    <mergeCell ref="B22:C22"/>
    <mergeCell ref="B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75569"/>
  </sheetPr>
  <dimension ref="B1:C25"/>
  <sheetViews>
    <sheetView showGridLines="0" zoomScale="90" workbookViewId="0"/>
  </sheetViews>
  <sheetFormatPr defaultRowHeight="15" x14ac:dyDescent="0.25"/>
  <cols>
    <col min="1" max="1" width="4" customWidth="1"/>
    <col min="2" max="2" width="28" customWidth="1"/>
    <col min="3" max="3" width="72" customWidth="1"/>
  </cols>
  <sheetData>
    <row r="1" spans="2:3" ht="51.95" customHeight="1" x14ac:dyDescent="0.25">
      <c r="B1" s="57" t="s">
        <v>56</v>
      </c>
      <c r="C1" s="58"/>
    </row>
    <row r="4" spans="2:3" ht="39.950000000000003" customHeight="1" x14ac:dyDescent="0.25">
      <c r="B4" s="5" t="s">
        <v>57</v>
      </c>
      <c r="C4" s="6" t="s">
        <v>58</v>
      </c>
    </row>
    <row r="5" spans="2:3" ht="8.1" customHeight="1" x14ac:dyDescent="0.25"/>
    <row r="6" spans="2:3" ht="39.950000000000003" customHeight="1" x14ac:dyDescent="0.25">
      <c r="B6" s="5" t="s">
        <v>59</v>
      </c>
      <c r="C6" s="6" t="s">
        <v>60</v>
      </c>
    </row>
    <row r="7" spans="2:3" ht="8.1" customHeight="1" x14ac:dyDescent="0.25"/>
    <row r="8" spans="2:3" ht="39.950000000000003" customHeight="1" x14ac:dyDescent="0.25">
      <c r="B8" s="5" t="s">
        <v>61</v>
      </c>
      <c r="C8" s="6" t="s">
        <v>62</v>
      </c>
    </row>
    <row r="9" spans="2:3" ht="8.1" customHeight="1" x14ac:dyDescent="0.25"/>
    <row r="10" spans="2:3" ht="39.950000000000003" customHeight="1" x14ac:dyDescent="0.25">
      <c r="B10" s="5" t="s">
        <v>63</v>
      </c>
      <c r="C10" s="6" t="s">
        <v>62</v>
      </c>
    </row>
    <row r="11" spans="2:3" ht="8.1" customHeight="1" x14ac:dyDescent="0.25"/>
    <row r="12" spans="2:3" ht="39.950000000000003" customHeight="1" x14ac:dyDescent="0.25">
      <c r="B12" s="5" t="s">
        <v>64</v>
      </c>
      <c r="C12" s="6" t="s">
        <v>65</v>
      </c>
    </row>
    <row r="13" spans="2:3" ht="8.1" customHeight="1" x14ac:dyDescent="0.25"/>
    <row r="14" spans="2:3" ht="39.950000000000003" customHeight="1" x14ac:dyDescent="0.25">
      <c r="B14" s="5" t="s">
        <v>66</v>
      </c>
      <c r="C14" s="6" t="s">
        <v>67</v>
      </c>
    </row>
    <row r="15" spans="2:3" ht="8.1" customHeight="1" x14ac:dyDescent="0.25"/>
    <row r="16" spans="2:3" ht="39.950000000000003" customHeight="1" x14ac:dyDescent="0.25">
      <c r="B16" s="5" t="s">
        <v>68</v>
      </c>
      <c r="C16" s="6" t="s">
        <v>69</v>
      </c>
    </row>
    <row r="17" spans="2:3" ht="8.1" customHeight="1" x14ac:dyDescent="0.25"/>
    <row r="18" spans="2:3" ht="39.950000000000003" customHeight="1" x14ac:dyDescent="0.25">
      <c r="B18" s="5" t="s">
        <v>70</v>
      </c>
      <c r="C18" s="6" t="s">
        <v>71</v>
      </c>
    </row>
    <row r="19" spans="2:3" ht="8.1" customHeight="1" x14ac:dyDescent="0.25"/>
    <row r="20" spans="2:3" ht="39.950000000000003" customHeight="1" x14ac:dyDescent="0.25">
      <c r="B20" s="5" t="s">
        <v>72</v>
      </c>
      <c r="C20" s="6" t="s">
        <v>73</v>
      </c>
    </row>
    <row r="21" spans="2:3" ht="8.1" customHeight="1" x14ac:dyDescent="0.25"/>
    <row r="22" spans="2:3" ht="39.950000000000003" customHeight="1" x14ac:dyDescent="0.25">
      <c r="B22" s="5" t="s">
        <v>74</v>
      </c>
      <c r="C22" s="6" t="s">
        <v>75</v>
      </c>
    </row>
    <row r="23" spans="2:3" ht="8.1" customHeight="1" x14ac:dyDescent="0.25"/>
    <row r="24" spans="2:3" ht="39.950000000000003" customHeight="1" x14ac:dyDescent="0.25">
      <c r="B24" s="5" t="s">
        <v>76</v>
      </c>
      <c r="C24" s="6" t="s">
        <v>77</v>
      </c>
    </row>
    <row r="25" spans="2:3" ht="8.1" customHeight="1" x14ac:dyDescent="0.25"/>
  </sheetData>
  <sheetProtection password="90E3" sheet="1" formatCells="0" formatColumns="0" formatRows="0"/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4ED8"/>
  </sheetPr>
  <dimension ref="B1:C25"/>
  <sheetViews>
    <sheetView showGridLines="0" zoomScale="90" workbookViewId="0">
      <selection activeCell="B11" sqref="B11"/>
    </sheetView>
  </sheetViews>
  <sheetFormatPr defaultRowHeight="15" x14ac:dyDescent="0.25"/>
  <cols>
    <col min="1" max="1" width="6" customWidth="1"/>
    <col min="2" max="2" width="32" customWidth="1"/>
    <col min="3" max="3" width="26" customWidth="1"/>
  </cols>
  <sheetData>
    <row r="1" spans="2:3" ht="51.95" customHeight="1" x14ac:dyDescent="0.25">
      <c r="B1" s="57" t="s">
        <v>78</v>
      </c>
      <c r="C1" s="58"/>
    </row>
    <row r="2" spans="2:3" ht="30" customHeight="1" x14ac:dyDescent="0.25">
      <c r="B2" s="79" t="s">
        <v>79</v>
      </c>
      <c r="C2" s="58"/>
    </row>
    <row r="3" spans="2:3" ht="12" customHeight="1" x14ac:dyDescent="0.25"/>
    <row r="4" spans="2:3" ht="32.1" customHeight="1" x14ac:dyDescent="0.25">
      <c r="B4" s="7" t="s">
        <v>80</v>
      </c>
      <c r="C4" s="7" t="str">
        <f>"Status: " &amp; COUNTIF(C6:C26,"VALID TEAM") &amp; "/" &amp; COUNTA(B6:B26)</f>
        <v>Status: 11/20</v>
      </c>
    </row>
    <row r="5" spans="2:3" ht="30" customHeight="1" x14ac:dyDescent="0.25">
      <c r="B5" s="8" t="s">
        <v>81</v>
      </c>
      <c r="C5" s="9" t="str">
        <f>CALCULATIONS!U2</f>
        <v>VALID TEAM</v>
      </c>
    </row>
    <row r="6" spans="2:3" ht="30" customHeight="1" x14ac:dyDescent="0.25">
      <c r="B6" s="8" t="s">
        <v>11</v>
      </c>
      <c r="C6" s="9" t="str">
        <f>CALCULATIONS!U3</f>
        <v>VALID TEAM</v>
      </c>
    </row>
    <row r="7" spans="2:3" ht="30" customHeight="1" x14ac:dyDescent="0.25">
      <c r="B7" s="8" t="s">
        <v>82</v>
      </c>
      <c r="C7" s="9" t="str">
        <f>CALCULATIONS!U4</f>
        <v>LESS THAN 5 PLAYERS</v>
      </c>
    </row>
    <row r="8" spans="2:3" ht="30" customHeight="1" x14ac:dyDescent="0.25">
      <c r="B8" s="8" t="s">
        <v>83</v>
      </c>
      <c r="C8" s="9" t="str">
        <f>CALCULATIONS!U5</f>
        <v>VALID TEAM</v>
      </c>
    </row>
    <row r="9" spans="2:3" ht="30" customHeight="1" x14ac:dyDescent="0.25">
      <c r="B9" s="8" t="s">
        <v>84</v>
      </c>
      <c r="C9" s="9" t="str">
        <f>CALCULATIONS!U6</f>
        <v>VALID TEAM</v>
      </c>
    </row>
    <row r="10" spans="2:3" ht="30" customHeight="1" x14ac:dyDescent="0.25">
      <c r="B10" s="8" t="s">
        <v>3</v>
      </c>
      <c r="C10" s="9" t="str">
        <f>CALCULATIONS!U7</f>
        <v>VALID TEAM</v>
      </c>
    </row>
    <row r="11" spans="2:3" ht="30" customHeight="1" x14ac:dyDescent="0.25">
      <c r="B11" s="8" t="s">
        <v>85</v>
      </c>
      <c r="C11" s="9" t="str">
        <f>CALCULATIONS!U8</f>
        <v>LESS THAN 5 PLAYERS</v>
      </c>
    </row>
    <row r="12" spans="2:3" ht="30" customHeight="1" x14ac:dyDescent="0.25">
      <c r="B12" s="8" t="s">
        <v>86</v>
      </c>
      <c r="C12" s="9" t="str">
        <f>CALCULATIONS!U9</f>
        <v>VALID TEAM</v>
      </c>
    </row>
    <row r="13" spans="2:3" ht="30" customHeight="1" x14ac:dyDescent="0.25">
      <c r="B13" s="8" t="s">
        <v>87</v>
      </c>
      <c r="C13" s="9" t="str">
        <f>CALCULATIONS!U10</f>
        <v>VALID TEAM</v>
      </c>
    </row>
    <row r="14" spans="2:3" ht="30" customHeight="1" x14ac:dyDescent="0.25">
      <c r="B14" s="8" t="s">
        <v>88</v>
      </c>
      <c r="C14" s="9" t="str">
        <f>CALCULATIONS!U11</f>
        <v>LESS THAN 5 PLAYERS</v>
      </c>
    </row>
    <row r="15" spans="2:3" ht="30" customHeight="1" x14ac:dyDescent="0.25">
      <c r="B15" s="8" t="s">
        <v>89</v>
      </c>
      <c r="C15" s="9" t="str">
        <f>CALCULATIONS!U12</f>
        <v>LESS THAN 5 PLAYERS</v>
      </c>
    </row>
    <row r="16" spans="2:3" ht="30" customHeight="1" x14ac:dyDescent="0.25">
      <c r="B16" s="8" t="s">
        <v>90</v>
      </c>
      <c r="C16" s="9" t="str">
        <f>CALCULATIONS!U13</f>
        <v>LESS THAN 5 PLAYERS</v>
      </c>
    </row>
    <row r="17" spans="2:3" ht="30" customHeight="1" x14ac:dyDescent="0.25">
      <c r="B17" s="8" t="s">
        <v>10</v>
      </c>
      <c r="C17" s="9" t="str">
        <f>CALCULATIONS!U14</f>
        <v>VALID TEAM</v>
      </c>
    </row>
    <row r="18" spans="2:3" ht="30" customHeight="1" x14ac:dyDescent="0.25">
      <c r="B18" s="8" t="s">
        <v>12</v>
      </c>
      <c r="C18" s="9" t="str">
        <f>CALCULATIONS!U15</f>
        <v>LESS THAN 5 PLAYERS</v>
      </c>
    </row>
    <row r="19" spans="2:3" ht="30" customHeight="1" x14ac:dyDescent="0.25">
      <c r="B19" s="8" t="s">
        <v>91</v>
      </c>
      <c r="C19" s="9" t="str">
        <f>CALCULATIONS!U16</f>
        <v>VALID TEAM</v>
      </c>
    </row>
    <row r="20" spans="2:3" ht="30" customHeight="1" x14ac:dyDescent="0.25">
      <c r="B20" s="8" t="s">
        <v>92</v>
      </c>
      <c r="C20" s="9" t="str">
        <f>CALCULATIONS!U17</f>
        <v>LESS THAN 5 PLAYERS</v>
      </c>
    </row>
    <row r="21" spans="2:3" ht="30" customHeight="1" x14ac:dyDescent="0.25">
      <c r="B21" s="8" t="s">
        <v>13</v>
      </c>
      <c r="C21" s="9" t="str">
        <f>CALCULATIONS!U18</f>
        <v>VALID TEAM</v>
      </c>
    </row>
    <row r="22" spans="2:3" ht="30" customHeight="1" x14ac:dyDescent="0.25">
      <c r="B22" s="8" t="s">
        <v>93</v>
      </c>
      <c r="C22" s="9" t="str">
        <f>CALCULATIONS!U19</f>
        <v>LESS THAN 5 PLAYERS</v>
      </c>
    </row>
    <row r="23" spans="2:3" ht="30" customHeight="1" x14ac:dyDescent="0.25">
      <c r="B23" s="8" t="s">
        <v>94</v>
      </c>
      <c r="C23" s="9" t="str">
        <f>CALCULATIONS!U20</f>
        <v>VALID TEAM</v>
      </c>
    </row>
    <row r="24" spans="2:3" ht="30" customHeight="1" x14ac:dyDescent="0.25">
      <c r="B24" s="8" t="s">
        <v>95</v>
      </c>
      <c r="C24" s="9" t="str">
        <f>CALCULATIONS!U21</f>
        <v>LESS THAN 5 PLAYERS</v>
      </c>
    </row>
    <row r="25" spans="2:3" ht="30" customHeight="1" x14ac:dyDescent="0.25">
      <c r="B25" s="8" t="s">
        <v>96</v>
      </c>
      <c r="C25" s="9" t="str">
        <f>CALCULATIONS!U22</f>
        <v>VALID TEAM</v>
      </c>
    </row>
  </sheetData>
  <sheetProtection algorithmName="SHA-512" hashValue="+4lH9vxQffujk2tQfLXOLZuBF6UOWQPEgzxJ8Feyl8fjLtzjc7GgIo5Db5TVklmqZ/s9AjUkTTpCQecq8AMxmw==" saltValue="SDx6Z0KH60p4u9LY/bYOlg==" spinCount="100000" sheet="1" formatCells="0" formatColumns="0" formatRows="0"/>
  <mergeCells count="2">
    <mergeCell ref="B1:C1"/>
    <mergeCell ref="B2:C2"/>
  </mergeCells>
  <conditionalFormatting sqref="C5:C25">
    <cfRule type="expression" dxfId="73" priority="3">
      <formula>AND(C5&lt;&gt;"",C5&lt;&gt;"VALID TEAM")</formula>
    </cfRule>
    <cfRule type="cellIs" dxfId="72" priority="4" operator="equal">
      <formula>"VALID TEAM"</formula>
    </cfRule>
  </conditionalFormatting>
  <hyperlinks>
    <hyperlink ref="B5" location="'Alexa Amesimeku'!A1" display="Alexa Amesimeku" xr:uid="{00000000-0004-0000-0200-000000000000}"/>
    <hyperlink ref="B6" location="'Alfie Foley'!A1" display="Alfie Foley" xr:uid="{00000000-0004-0000-0200-000001000000}"/>
    <hyperlink ref="B7" location="'Alyza Rai'!A1" display="Alyza Rai" xr:uid="{00000000-0004-0000-0200-000002000000}"/>
    <hyperlink ref="B8" location="'Ava Swinfen'!A1" display="Ava Swinfen" xr:uid="{00000000-0004-0000-0200-000003000000}"/>
    <hyperlink ref="B9" location="'Azlan Husain'!A1" display="Azlan Husain" xr:uid="{00000000-0004-0000-0200-000004000000}"/>
    <hyperlink ref="B10" location="'Chinedu Chile'!A1" display="Chinedu Chile" xr:uid="{00000000-0004-0000-0200-000005000000}"/>
    <hyperlink ref="B11" location="'Daniel Liu'!A1" display="Daniel Liu" xr:uid="{00000000-0004-0000-0200-000006000000}"/>
    <hyperlink ref="B12" location="'David Wu'!A1" display="David Wu" xr:uid="{00000000-0004-0000-0200-000007000000}"/>
    <hyperlink ref="B13" location="'Edwin Mayers'!A1" display="Edwin Mayers" xr:uid="{00000000-0004-0000-0200-000008000000}"/>
    <hyperlink ref="B14" location="'Emily Warburton'!A1" display="Emily Warburton" xr:uid="{00000000-0004-0000-0200-000009000000}"/>
    <hyperlink ref="B15" location="'Esme Beston'!A1" display="Esme Beston" xr:uid="{00000000-0004-0000-0200-00000A000000}"/>
    <hyperlink ref="B16" location="'Iona Smith'!A1" display="Iona Smith" xr:uid="{00000000-0004-0000-0200-00000B000000}"/>
    <hyperlink ref="B17" location="'Joe Paige'!A1" display="Joe Paige" xr:uid="{00000000-0004-0000-0200-00000C000000}"/>
    <hyperlink ref="B18" location="'Lia Li'!A1" display="Lia Li" xr:uid="{00000000-0004-0000-0200-00000D000000}"/>
    <hyperlink ref="B19" location="'Melody Zhaeentan'!A1" display="Melody Zhaeentan" xr:uid="{00000000-0004-0000-0200-00000E000000}"/>
    <hyperlink ref="B20" location="'Nina De Saram'!A1" display="Nina De Saram" xr:uid="{00000000-0004-0000-0200-00000F000000}"/>
    <hyperlink ref="B21" location="'Oscar Day-Duran'!A1" display="Oscar Day-Duran" xr:uid="{00000000-0004-0000-0200-000010000000}"/>
    <hyperlink ref="B22" location="'Rebecca Seymour'!A1" display="Rebecca Seymour" xr:uid="{00000000-0004-0000-0200-000011000000}"/>
    <hyperlink ref="B23" location="'Rory Bowman'!A1" display="Rory Bowman" xr:uid="{00000000-0004-0000-0200-000012000000}"/>
    <hyperlink ref="B24" location="'Sophie Barker'!A1" display="Sophie Barker" xr:uid="{00000000-0004-0000-0200-000013000000}"/>
    <hyperlink ref="B25" location="'Xander Meijer'!A1" display="Xander Meijer" xr:uid="{00000000-0004-0000-0200-000014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B1:E30"/>
  <sheetViews>
    <sheetView showGridLines="0" topLeftCell="A8" zoomScale="90" workbookViewId="0"/>
  </sheetViews>
  <sheetFormatPr defaultRowHeight="15" x14ac:dyDescent="0.25"/>
  <cols>
    <col min="1" max="1" width="4" customWidth="1"/>
    <col min="2" max="2" width="34" customWidth="1"/>
    <col min="3" max="4" width="14" customWidth="1"/>
    <col min="5" max="5" width="20" customWidth="1"/>
  </cols>
  <sheetData>
    <row r="1" spans="2:5" ht="51.95" customHeight="1" x14ac:dyDescent="0.25">
      <c r="B1" s="57" t="s">
        <v>97</v>
      </c>
      <c r="C1" s="58"/>
      <c r="D1" s="58"/>
      <c r="E1" s="58"/>
    </row>
    <row r="2" spans="2:5" ht="30" customHeight="1" x14ac:dyDescent="0.25">
      <c r="B2" s="79" t="s">
        <v>98</v>
      </c>
      <c r="C2" s="58"/>
      <c r="D2" s="58"/>
      <c r="E2" s="58"/>
    </row>
    <row r="3" spans="2:5" ht="12" customHeight="1" x14ac:dyDescent="0.25"/>
    <row r="4" spans="2:5" ht="32.1" customHeight="1" x14ac:dyDescent="0.25">
      <c r="B4" s="7" t="s">
        <v>7</v>
      </c>
      <c r="C4" s="7" t="s">
        <v>8</v>
      </c>
      <c r="D4" s="7" t="s">
        <v>99</v>
      </c>
      <c r="E4" s="7" t="s">
        <v>100</v>
      </c>
    </row>
    <row r="5" spans="2:5" ht="27.95" customHeight="1" x14ac:dyDescent="0.25">
      <c r="B5" s="10" t="str">
        <f>CALCULATIONS!A2</f>
        <v>Lia Li</v>
      </c>
      <c r="C5" s="11">
        <f>CALCULATIONS!C2</f>
        <v>13</v>
      </c>
      <c r="D5" s="12">
        <f>IF(SETTINGS!C30=0,0,CALCULATIONS!C2-CALCULATIONS!B2)</f>
        <v>0</v>
      </c>
      <c r="E5" s="13">
        <f>COUNTIF(CALCULATIONS!$L$2:$P$22,CALCULATIONS!A2)/COUNTA(CALCULATIONS!$K$2:$K$22)</f>
        <v>0.23809523809523808</v>
      </c>
    </row>
    <row r="6" spans="2:5" ht="27.95" customHeight="1" x14ac:dyDescent="0.25">
      <c r="B6" s="4" t="str">
        <f>CALCULATIONS!A3</f>
        <v>Sophie Barker</v>
      </c>
      <c r="C6" s="14">
        <f>CALCULATIONS!C3</f>
        <v>13</v>
      </c>
      <c r="D6" s="15">
        <f>IF(SETTINGS!C30=0,0,CALCULATIONS!C3-CALCULATIONS!B3)</f>
        <v>0</v>
      </c>
      <c r="E6" s="16">
        <f>COUNTIF(CALCULATIONS!$L$2:$P$22,CALCULATIONS!A3)/COUNTA(CALCULATIONS!$K$2:$K$22)</f>
        <v>0.14285714285714285</v>
      </c>
    </row>
    <row r="7" spans="2:5" ht="27.95" customHeight="1" x14ac:dyDescent="0.25">
      <c r="B7" s="10" t="str">
        <f>CALCULATIONS!A4</f>
        <v>Chinedu Chile</v>
      </c>
      <c r="C7" s="11">
        <f>CALCULATIONS!C4</f>
        <v>11</v>
      </c>
      <c r="D7" s="12">
        <f>IF(SETTINGS!C30=0,0,CALCULATIONS!C4-CALCULATIONS!B4)</f>
        <v>0</v>
      </c>
      <c r="E7" s="13">
        <f>COUNTIF(CALCULATIONS!$L$2:$P$22,CALCULATIONS!A4)/COUNTA(CALCULATIONS!$K$2:$K$22)</f>
        <v>0.33333333333333331</v>
      </c>
    </row>
    <row r="8" spans="2:5" ht="27.95" customHeight="1" x14ac:dyDescent="0.25">
      <c r="B8" s="4" t="str">
        <f>CALCULATIONS!A5</f>
        <v>Emily Warburton</v>
      </c>
      <c r="C8" s="14">
        <f>CALCULATIONS!C5</f>
        <v>11</v>
      </c>
      <c r="D8" s="15">
        <f>IF(SETTINGS!C30=0,0,CALCULATIONS!C5-CALCULATIONS!B5)</f>
        <v>0</v>
      </c>
      <c r="E8" s="16">
        <f>COUNTIF(CALCULATIONS!$L$2:$P$22,CALCULATIONS!A5)/COUNTA(CALCULATIONS!$K$2:$K$22)</f>
        <v>9.5238095238095233E-2</v>
      </c>
    </row>
    <row r="9" spans="2:5" ht="27.95" customHeight="1" x14ac:dyDescent="0.25">
      <c r="B9" s="10" t="str">
        <f>CALCULATIONS!A6</f>
        <v>Alyza Rai</v>
      </c>
      <c r="C9" s="11">
        <f>CALCULATIONS!C6</f>
        <v>10.5</v>
      </c>
      <c r="D9" s="12">
        <f>IF(SETTINGS!C30=0,0,CALCULATIONS!C6-CALCULATIONS!B6)</f>
        <v>0</v>
      </c>
      <c r="E9" s="13">
        <f>COUNTIF(CALCULATIONS!$L$2:$P$22,CALCULATIONS!A6)/COUNTA(CALCULATIONS!$K$2:$K$22)</f>
        <v>0.14285714285714285</v>
      </c>
    </row>
    <row r="10" spans="2:5" ht="27.95" customHeight="1" x14ac:dyDescent="0.25">
      <c r="B10" s="4" t="str">
        <f>CALCULATIONS!A7</f>
        <v>David Wu</v>
      </c>
      <c r="C10" s="14">
        <f>CALCULATIONS!C7</f>
        <v>10.5</v>
      </c>
      <c r="D10" s="15">
        <f>IF(SETTINGS!C30=0,0,CALCULATIONS!C7-CALCULATIONS!B7)</f>
        <v>0</v>
      </c>
      <c r="E10" s="16">
        <f>COUNTIF(CALCULATIONS!$L$2:$P$22,CALCULATIONS!A7)/COUNTA(CALCULATIONS!$K$2:$K$22)</f>
        <v>0.33333333333333331</v>
      </c>
    </row>
    <row r="11" spans="2:5" ht="27.95" customHeight="1" x14ac:dyDescent="0.25">
      <c r="B11" s="10" t="str">
        <f>CALCULATIONS!A8</f>
        <v>Joe Paige</v>
      </c>
      <c r="C11" s="11">
        <f>CALCULATIONS!C8</f>
        <v>10.5</v>
      </c>
      <c r="D11" s="12">
        <f>IF(SETTINGS!C30=0,0,CALCULATIONS!C8-CALCULATIONS!B8)</f>
        <v>0</v>
      </c>
      <c r="E11" s="13">
        <f>COUNTIF(CALCULATIONS!$L$2:$P$22,CALCULATIONS!A8)/COUNTA(CALCULATIONS!$K$2:$K$22)</f>
        <v>0.33333333333333331</v>
      </c>
    </row>
    <row r="12" spans="2:5" ht="27.95" customHeight="1" x14ac:dyDescent="0.25">
      <c r="B12" s="4" t="str">
        <f>CALCULATIONS!A9</f>
        <v>Azlan Husain</v>
      </c>
      <c r="C12" s="14">
        <f>CALCULATIONS!C9</f>
        <v>10</v>
      </c>
      <c r="D12" s="15">
        <f>IF(SETTINGS!C30=0,0,CALCULATIONS!C9-CALCULATIONS!B9)</f>
        <v>0</v>
      </c>
      <c r="E12" s="16">
        <f>COUNTIF(CALCULATIONS!$L$2:$P$22,CALCULATIONS!A9)/COUNTA(CALCULATIONS!$K$2:$K$22)</f>
        <v>9.5238095238095233E-2</v>
      </c>
    </row>
    <row r="13" spans="2:5" ht="27.95" customHeight="1" x14ac:dyDescent="0.25">
      <c r="B13" s="10" t="str">
        <f>CALCULATIONS!A10</f>
        <v>Nina De Saram</v>
      </c>
      <c r="C13" s="11">
        <f>CALCULATIONS!C10</f>
        <v>10</v>
      </c>
      <c r="D13" s="12">
        <f>IF(SETTINGS!C30=0,0,CALCULATIONS!C10-CALCULATIONS!B10)</f>
        <v>0</v>
      </c>
      <c r="E13" s="13">
        <f>COUNTIF(CALCULATIONS!$L$2:$P$22,CALCULATIONS!A10)/COUNTA(CALCULATIONS!$K$2:$K$22)</f>
        <v>9.5238095238095233E-2</v>
      </c>
    </row>
    <row r="14" spans="2:5" ht="27.95" customHeight="1" x14ac:dyDescent="0.25">
      <c r="B14" s="4" t="str">
        <f>CALCULATIONS!A11</f>
        <v>Alexa Amesimeku</v>
      </c>
      <c r="C14" s="14">
        <f>CALCULATIONS!C11</f>
        <v>9.5</v>
      </c>
      <c r="D14" s="15">
        <f>IF(SETTINGS!C30=0,0,CALCULATIONS!C11-CALCULATIONS!B11)</f>
        <v>0</v>
      </c>
      <c r="E14" s="16">
        <f>COUNTIF(CALCULATIONS!$L$2:$P$22,CALCULATIONS!A11)/COUNTA(CALCULATIONS!$K$2:$K$22)</f>
        <v>9.5238095238095233E-2</v>
      </c>
    </row>
    <row r="15" spans="2:5" ht="27.95" customHeight="1" x14ac:dyDescent="0.25">
      <c r="B15" s="10" t="str">
        <f>CALCULATIONS!A12</f>
        <v>Daniel Liu</v>
      </c>
      <c r="C15" s="11">
        <f>CALCULATIONS!C12</f>
        <v>9.5</v>
      </c>
      <c r="D15" s="12">
        <f>IF(SETTINGS!C30=0,0,CALCULATIONS!C12-CALCULATIONS!B12)</f>
        <v>0</v>
      </c>
      <c r="E15" s="13">
        <f>COUNTIF(CALCULATIONS!$L$2:$P$22,CALCULATIONS!A12)/COUNTA(CALCULATIONS!$K$2:$K$22)</f>
        <v>0</v>
      </c>
    </row>
    <row r="16" spans="2:5" ht="27.95" customHeight="1" x14ac:dyDescent="0.25">
      <c r="B16" s="4" t="str">
        <f>CALCULATIONS!A13</f>
        <v>Rebecca Seymour</v>
      </c>
      <c r="C16" s="14">
        <f>CALCULATIONS!C13</f>
        <v>9.5</v>
      </c>
      <c r="D16" s="15">
        <f>IF(SETTINGS!C30=0,0,CALCULATIONS!C13-CALCULATIONS!B13)</f>
        <v>0</v>
      </c>
      <c r="E16" s="16">
        <f>COUNTIF(CALCULATIONS!$L$2:$P$22,CALCULATIONS!A13)/COUNTA(CALCULATIONS!$K$2:$K$22)</f>
        <v>9.5238095238095233E-2</v>
      </c>
    </row>
    <row r="17" spans="2:5" ht="27.95" customHeight="1" x14ac:dyDescent="0.25">
      <c r="B17" s="10" t="str">
        <f>CALCULATIONS!A14</f>
        <v>Edwin Mayers</v>
      </c>
      <c r="C17" s="11">
        <f>CALCULATIONS!C14</f>
        <v>9</v>
      </c>
      <c r="D17" s="12">
        <f>IF(SETTINGS!C30=0,0,CALCULATIONS!C14-CALCULATIONS!B14)</f>
        <v>0</v>
      </c>
      <c r="E17" s="13">
        <f>COUNTIF(CALCULATIONS!$L$2:$P$22,CALCULATIONS!A14)/COUNTA(CALCULATIONS!$K$2:$K$22)</f>
        <v>0.33333333333333331</v>
      </c>
    </row>
    <row r="18" spans="2:5" ht="27.95" customHeight="1" x14ac:dyDescent="0.25">
      <c r="B18" s="4" t="str">
        <f>CALCULATIONS!A15</f>
        <v>Melody Zhaeentan</v>
      </c>
      <c r="C18" s="14">
        <f>CALCULATIONS!C15</f>
        <v>8.5</v>
      </c>
      <c r="D18" s="15">
        <f>IF(SETTINGS!C30=0,0,CALCULATIONS!C15-CALCULATIONS!B15)</f>
        <v>0</v>
      </c>
      <c r="E18" s="16">
        <f>COUNTIF(CALCULATIONS!$L$2:$P$22,CALCULATIONS!A15)/COUNTA(CALCULATIONS!$K$2:$K$22)</f>
        <v>9.5238095238095233E-2</v>
      </c>
    </row>
    <row r="19" spans="2:5" ht="27.95" customHeight="1" x14ac:dyDescent="0.25">
      <c r="B19" s="10" t="str">
        <f>CALCULATIONS!A16</f>
        <v>Esme Beston</v>
      </c>
      <c r="C19" s="11">
        <f>CALCULATIONS!C16</f>
        <v>8</v>
      </c>
      <c r="D19" s="12">
        <f>IF(SETTINGS!C30=0,0,CALCULATIONS!C16-CALCULATIONS!B16)</f>
        <v>0</v>
      </c>
      <c r="E19" s="13">
        <f>COUNTIF(CALCULATIONS!$L$2:$P$22,CALCULATIONS!A16)/COUNTA(CALCULATIONS!$K$2:$K$22)</f>
        <v>4.7619047619047616E-2</v>
      </c>
    </row>
    <row r="20" spans="2:5" ht="27.95" customHeight="1" x14ac:dyDescent="0.25">
      <c r="B20" s="4" t="str">
        <f>CALCULATIONS!A17</f>
        <v>Iona Smith</v>
      </c>
      <c r="C20" s="14">
        <f>CALCULATIONS!C17</f>
        <v>8</v>
      </c>
      <c r="D20" s="15">
        <f>IF(SETTINGS!C30=0,0,CALCULATIONS!C17-CALCULATIONS!B17)</f>
        <v>0</v>
      </c>
      <c r="E20" s="16">
        <f>COUNTIF(CALCULATIONS!$L$2:$P$22,CALCULATIONS!A17)/COUNTA(CALCULATIONS!$K$2:$K$22)</f>
        <v>0</v>
      </c>
    </row>
    <row r="21" spans="2:5" ht="27.95" customHeight="1" x14ac:dyDescent="0.25">
      <c r="B21" s="10" t="str">
        <f>CALCULATIONS!A18</f>
        <v>Oscar Day-Duran</v>
      </c>
      <c r="C21" s="11">
        <f>CALCULATIONS!C18</f>
        <v>8</v>
      </c>
      <c r="D21" s="12">
        <f>IF(SETTINGS!C30=0,0,CALCULATIONS!C18-CALCULATIONS!B18)</f>
        <v>0</v>
      </c>
      <c r="E21" s="13">
        <f>COUNTIF(CALCULATIONS!$L$2:$P$22,CALCULATIONS!A18)/COUNTA(CALCULATIONS!$K$2:$K$22)</f>
        <v>9.5238095238095233E-2</v>
      </c>
    </row>
    <row r="22" spans="2:5" ht="27.95" customHeight="1" x14ac:dyDescent="0.25">
      <c r="B22" s="4" t="str">
        <f>CALCULATIONS!A19</f>
        <v>Alfie Foley</v>
      </c>
      <c r="C22" s="14">
        <f>CALCULATIONS!C19</f>
        <v>7.5</v>
      </c>
      <c r="D22" s="15">
        <f>IF(SETTINGS!C30=0,0,CALCULATIONS!C19-CALCULATIONS!B19)</f>
        <v>0</v>
      </c>
      <c r="E22" s="16">
        <f>COUNTIF(CALCULATIONS!$L$2:$P$22,CALCULATIONS!A19)/COUNTA(CALCULATIONS!$K$2:$K$22)</f>
        <v>9.5238095238095233E-2</v>
      </c>
    </row>
    <row r="23" spans="2:5" ht="27.95" customHeight="1" x14ac:dyDescent="0.25">
      <c r="B23" s="10" t="str">
        <f>CALCULATIONS!A20</f>
        <v>Ava Swinfen</v>
      </c>
      <c r="C23" s="11">
        <f>CALCULATIONS!C20</f>
        <v>7</v>
      </c>
      <c r="D23" s="12">
        <f>IF(SETTINGS!C30=0,0,CALCULATIONS!C20-CALCULATIONS!B20)</f>
        <v>0</v>
      </c>
      <c r="E23" s="13">
        <f>COUNTIF(CALCULATIONS!$L$2:$P$22,CALCULATIONS!A20)/COUNTA(CALCULATIONS!$K$2:$K$22)</f>
        <v>0.2857142857142857</v>
      </c>
    </row>
    <row r="24" spans="2:5" ht="27.95" customHeight="1" x14ac:dyDescent="0.25">
      <c r="B24" s="4" t="str">
        <f>CALCULATIONS!A21</f>
        <v>Rory Bowman</v>
      </c>
      <c r="C24" s="14">
        <f>CALCULATIONS!C21</f>
        <v>7</v>
      </c>
      <c r="D24" s="15">
        <f>IF(SETTINGS!C30=0,0,CALCULATIONS!C21-CALCULATIONS!B21)</f>
        <v>0</v>
      </c>
      <c r="E24" s="16">
        <f>COUNTIF(CALCULATIONS!$L$2:$P$22,CALCULATIONS!A21)/COUNTA(CALCULATIONS!$K$2:$K$22)</f>
        <v>0</v>
      </c>
    </row>
    <row r="25" spans="2:5" ht="27.95" customHeight="1" x14ac:dyDescent="0.25">
      <c r="B25" s="10" t="str">
        <f>CALCULATIONS!A22</f>
        <v>Xander Meijer</v>
      </c>
      <c r="C25" s="11">
        <f>CALCULATIONS!C22</f>
        <v>7</v>
      </c>
      <c r="D25" s="12">
        <f>IF(SETTINGS!C30=0,0,CALCULATIONS!C22-CALCULATIONS!B22)</f>
        <v>0</v>
      </c>
      <c r="E25" s="13">
        <f>COUNTIF(CALCULATIONS!$L$2:$P$22,CALCULATIONS!A22)/COUNTA(CALCULATIONS!$K$2:$K$22)</f>
        <v>9.5238095238095233E-2</v>
      </c>
    </row>
    <row r="28" spans="2:5" x14ac:dyDescent="0.25">
      <c r="B28" s="80" t="s">
        <v>101</v>
      </c>
      <c r="C28" s="62"/>
      <c r="D28" s="62"/>
      <c r="E28" s="63"/>
    </row>
    <row r="29" spans="2:5" x14ac:dyDescent="0.25">
      <c r="B29" s="64"/>
      <c r="C29" s="58"/>
      <c r="D29" s="58"/>
      <c r="E29" s="65"/>
    </row>
    <row r="30" spans="2:5" x14ac:dyDescent="0.25">
      <c r="B30" s="66"/>
      <c r="C30" s="67"/>
      <c r="D30" s="67"/>
      <c r="E30" s="68"/>
    </row>
  </sheetData>
  <sheetProtection password="90E3" sheet="1" formatCells="0" formatColumns="0" formatRows="0"/>
  <mergeCells count="3">
    <mergeCell ref="B1:E1"/>
    <mergeCell ref="B2:E2"/>
    <mergeCell ref="B28:E30"/>
  </mergeCells>
  <conditionalFormatting sqref="D5:D25">
    <cfRule type="expression" dxfId="71" priority="1">
      <formula>D5&gt;0</formula>
    </cfRule>
    <cfRule type="expression" dxfId="70" priority="2">
      <formula>D5&lt;0</formula>
    </cfRule>
    <cfRule type="expression" dxfId="69" priority="3">
      <formula>D5=0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B1:I34"/>
  <sheetViews>
    <sheetView showGridLines="0" topLeftCell="A6" zoomScale="85" zoomScaleNormal="85" workbookViewId="0">
      <selection activeCell="M14" sqref="M14"/>
    </sheetView>
  </sheetViews>
  <sheetFormatPr defaultRowHeight="15" x14ac:dyDescent="0.25"/>
  <cols>
    <col min="1" max="1" width="4" customWidth="1"/>
    <col min="2" max="2" width="33.5703125" customWidth="1"/>
    <col min="3" max="3" width="29" customWidth="1"/>
    <col min="4" max="4" width="40" customWidth="1"/>
    <col min="5" max="8" width="12" customWidth="1"/>
    <col min="9" max="9" width="4" customWidth="1"/>
  </cols>
  <sheetData>
    <row r="1" spans="2:9" ht="51.95" customHeight="1" x14ac:dyDescent="0.25">
      <c r="B1" s="57" t="s">
        <v>102</v>
      </c>
      <c r="C1" s="58"/>
      <c r="D1" s="58"/>
      <c r="E1" s="58"/>
      <c r="F1" s="58"/>
      <c r="G1" s="58"/>
      <c r="H1" s="58"/>
      <c r="I1" s="2"/>
    </row>
    <row r="2" spans="2:9" ht="30" customHeight="1" x14ac:dyDescent="0.25">
      <c r="B2" s="60" t="s">
        <v>103</v>
      </c>
      <c r="C2" s="58"/>
      <c r="D2" s="58"/>
      <c r="E2" s="58"/>
      <c r="F2" s="58"/>
      <c r="G2" s="58"/>
      <c r="H2" s="58"/>
      <c r="I2" s="2"/>
    </row>
    <row r="3" spans="2:9" ht="9.9499999999999993" customHeight="1" x14ac:dyDescent="0.25">
      <c r="B3" s="59"/>
      <c r="C3" s="58"/>
      <c r="D3" s="58"/>
      <c r="E3" s="58"/>
      <c r="F3" s="58"/>
      <c r="G3" s="58"/>
      <c r="H3" s="58"/>
      <c r="I3" s="2"/>
    </row>
    <row r="4" spans="2:9" ht="27.95" customHeight="1" x14ac:dyDescent="0.25">
      <c r="B4" s="17" t="s">
        <v>104</v>
      </c>
      <c r="C4" s="18"/>
      <c r="D4" s="18"/>
      <c r="E4" s="18"/>
      <c r="F4" s="18"/>
      <c r="G4" s="18"/>
      <c r="H4" s="19"/>
      <c r="I4" s="2"/>
    </row>
    <row r="5" spans="2:9" ht="32.1" customHeight="1" x14ac:dyDescent="0.25">
      <c r="B5" s="7" t="s">
        <v>105</v>
      </c>
      <c r="C5" s="20" t="str">
        <f>IFERROR("English: Average = " &amp; ROUND(AVERAGE(C6:C25), 1) &amp; "%", "English: No results yet")</f>
        <v>English: Average = 55.6%</v>
      </c>
      <c r="D5" s="7" t="str">
        <f>IFERROR("Biology: Average = " &amp; ROUND(AVERAGE(D6:D25), 1) &amp; "%", "Biology: No results yet")</f>
        <v>Biology: Average = 80.1%</v>
      </c>
      <c r="E5" s="7" t="s">
        <v>106</v>
      </c>
      <c r="F5" s="7" t="s">
        <v>106</v>
      </c>
      <c r="G5" s="7" t="s">
        <v>106</v>
      </c>
      <c r="H5" s="7" t="s">
        <v>107</v>
      </c>
      <c r="I5" s="2"/>
    </row>
    <row r="6" spans="2:9" ht="30" customHeight="1" x14ac:dyDescent="0.25">
      <c r="B6" s="10" t="s">
        <v>81</v>
      </c>
      <c r="C6" s="21">
        <v>73</v>
      </c>
      <c r="D6" s="21">
        <v>88</v>
      </c>
      <c r="E6" s="21"/>
      <c r="F6" s="21"/>
      <c r="G6" s="21"/>
      <c r="H6" s="22">
        <f>IFERROR(AVERAGE(C6:INDEX(C6:G6,SETTINGS!$C$17)),"")</f>
        <v>80.5</v>
      </c>
      <c r="I6" s="2"/>
    </row>
    <row r="7" spans="2:9" ht="30" customHeight="1" x14ac:dyDescent="0.25">
      <c r="B7" s="10" t="s">
        <v>11</v>
      </c>
      <c r="C7" s="21">
        <v>40</v>
      </c>
      <c r="D7" s="21">
        <v>65</v>
      </c>
      <c r="E7" s="21"/>
      <c r="F7" s="21"/>
      <c r="G7" s="21"/>
      <c r="H7" s="22">
        <f>IFERROR(AVERAGE(C7:INDEX(C7:G7,SETTINGS!$C$17)),"")</f>
        <v>52.5</v>
      </c>
      <c r="I7" s="2"/>
    </row>
    <row r="8" spans="2:9" ht="30" customHeight="1" x14ac:dyDescent="0.25">
      <c r="B8" s="10" t="s">
        <v>82</v>
      </c>
      <c r="C8" s="21">
        <v>70</v>
      </c>
      <c r="D8" s="21">
        <v>86</v>
      </c>
      <c r="E8" s="21"/>
      <c r="F8" s="21"/>
      <c r="G8" s="21"/>
      <c r="H8" s="22">
        <f>IFERROR(AVERAGE(C8:INDEX(C8:G8,SETTINGS!$C$17)),"")</f>
        <v>78</v>
      </c>
      <c r="I8" s="2"/>
    </row>
    <row r="9" spans="2:9" ht="30" customHeight="1" x14ac:dyDescent="0.25">
      <c r="B9" s="10" t="s">
        <v>83</v>
      </c>
      <c r="C9" s="21">
        <v>35</v>
      </c>
      <c r="D9" s="21">
        <v>74</v>
      </c>
      <c r="E9" s="21"/>
      <c r="F9" s="21"/>
      <c r="G9" s="21"/>
      <c r="H9" s="22">
        <f>IFERROR(AVERAGE(C9:INDEX(C9:G9,SETTINGS!$C$17)),"")</f>
        <v>54.5</v>
      </c>
      <c r="I9" s="2"/>
    </row>
    <row r="10" spans="2:9" ht="30" customHeight="1" x14ac:dyDescent="0.25">
      <c r="B10" s="10" t="s">
        <v>84</v>
      </c>
      <c r="C10" s="21">
        <v>50</v>
      </c>
      <c r="D10" s="21">
        <v>86</v>
      </c>
      <c r="E10" s="21"/>
      <c r="F10" s="21"/>
      <c r="G10" s="21"/>
      <c r="H10" s="22">
        <f>IFERROR(AVERAGE(C10:INDEX(C10:G10,SETTINGS!$C$17)),"")</f>
        <v>68</v>
      </c>
      <c r="I10" s="2"/>
    </row>
    <row r="11" spans="2:9" ht="30" customHeight="1" x14ac:dyDescent="0.25">
      <c r="B11" s="10" t="s">
        <v>3</v>
      </c>
      <c r="C11" s="21">
        <v>60</v>
      </c>
      <c r="D11" s="21">
        <v>86</v>
      </c>
      <c r="E11" s="21"/>
      <c r="F11" s="21"/>
      <c r="G11" s="21"/>
      <c r="H11" s="22">
        <f>IFERROR(AVERAGE(C11:INDEX(C11:G11,SETTINGS!$C$17)),"")</f>
        <v>73</v>
      </c>
      <c r="I11" s="2"/>
    </row>
    <row r="12" spans="2:9" ht="30" customHeight="1" x14ac:dyDescent="0.25">
      <c r="B12" s="10" t="s">
        <v>85</v>
      </c>
      <c r="C12" s="21">
        <v>63</v>
      </c>
      <c r="D12" s="21">
        <v>74</v>
      </c>
      <c r="E12" s="21"/>
      <c r="F12" s="21"/>
      <c r="G12" s="21"/>
      <c r="H12" s="22">
        <f>IFERROR(AVERAGE(C12:INDEX(C12:G12,SETTINGS!$C$17)),"")</f>
        <v>68.5</v>
      </c>
      <c r="I12" s="2"/>
    </row>
    <row r="13" spans="2:9" ht="30" customHeight="1" x14ac:dyDescent="0.25">
      <c r="B13" s="10" t="s">
        <v>86</v>
      </c>
      <c r="C13" s="21">
        <v>60</v>
      </c>
      <c r="D13" s="21">
        <v>86</v>
      </c>
      <c r="E13" s="21"/>
      <c r="F13" s="21"/>
      <c r="G13" s="21"/>
      <c r="H13" s="22">
        <f>IFERROR(AVERAGE(C13:INDEX(C13:G13,SETTINGS!$C$17)),"")</f>
        <v>73</v>
      </c>
      <c r="I13" s="2"/>
    </row>
    <row r="14" spans="2:9" ht="30" customHeight="1" x14ac:dyDescent="0.25">
      <c r="B14" s="10" t="s">
        <v>87</v>
      </c>
      <c r="C14" s="21">
        <v>40</v>
      </c>
      <c r="D14" s="21">
        <v>81</v>
      </c>
      <c r="E14" s="21"/>
      <c r="F14" s="21"/>
      <c r="G14" s="21"/>
      <c r="H14" s="22">
        <f>IFERROR(AVERAGE(C14:INDEX(C14:G14,SETTINGS!$C$17)),"")</f>
        <v>60.5</v>
      </c>
      <c r="I14" s="2"/>
    </row>
    <row r="15" spans="2:9" ht="30" customHeight="1" x14ac:dyDescent="0.25">
      <c r="B15" s="10" t="s">
        <v>89</v>
      </c>
      <c r="C15" s="21">
        <v>38</v>
      </c>
      <c r="D15" s="21">
        <v>56</v>
      </c>
      <c r="E15" s="21"/>
      <c r="F15" s="21"/>
      <c r="G15" s="21"/>
      <c r="H15" s="22">
        <f>IFERROR(AVERAGE(C15:INDEX(C15:G15,SETTINGS!$C$17)),"")</f>
        <v>47</v>
      </c>
      <c r="I15" s="2"/>
    </row>
    <row r="16" spans="2:9" ht="30" customHeight="1" x14ac:dyDescent="0.25">
      <c r="B16" s="10" t="s">
        <v>90</v>
      </c>
      <c r="C16" s="21"/>
      <c r="D16" s="21"/>
      <c r="E16" s="21"/>
      <c r="F16" s="21"/>
      <c r="G16" s="21"/>
      <c r="H16" s="22" t="str">
        <f>IFERROR(AVERAGE(C16:INDEX(C16:G16,SETTINGS!$C$17)),"")</f>
        <v/>
      </c>
      <c r="I16" s="2"/>
    </row>
    <row r="17" spans="2:9" ht="30" customHeight="1" x14ac:dyDescent="0.25">
      <c r="B17" s="10" t="s">
        <v>10</v>
      </c>
      <c r="C17" s="21">
        <v>83</v>
      </c>
      <c r="D17" s="21">
        <v>91</v>
      </c>
      <c r="E17" s="21"/>
      <c r="F17" s="21"/>
      <c r="G17" s="21"/>
      <c r="H17" s="22">
        <f>IFERROR(AVERAGE(C17:INDEX(C17:G17,SETTINGS!$C$17)),"")</f>
        <v>87</v>
      </c>
      <c r="I17" s="2"/>
    </row>
    <row r="18" spans="2:9" ht="30" customHeight="1" x14ac:dyDescent="0.25">
      <c r="B18" s="10" t="s">
        <v>12</v>
      </c>
      <c r="C18" s="21">
        <v>55</v>
      </c>
      <c r="D18" s="21">
        <v>100</v>
      </c>
      <c r="E18" s="21"/>
      <c r="F18" s="21"/>
      <c r="G18" s="21"/>
      <c r="H18" s="22">
        <f>IFERROR(AVERAGE(C18:INDEX(C18:G18,SETTINGS!$C$17)),"")</f>
        <v>77.5</v>
      </c>
      <c r="I18" s="2"/>
    </row>
    <row r="19" spans="2:9" ht="30" customHeight="1" x14ac:dyDescent="0.25">
      <c r="B19" s="10" t="s">
        <v>91</v>
      </c>
      <c r="C19" s="21">
        <v>75</v>
      </c>
      <c r="D19" s="21">
        <v>74</v>
      </c>
      <c r="E19" s="21"/>
      <c r="F19" s="21"/>
      <c r="G19" s="21"/>
      <c r="H19" s="22">
        <f>IFERROR(AVERAGE(C19:INDEX(C19:G19,SETTINGS!$C$17)),"")</f>
        <v>74.5</v>
      </c>
      <c r="I19" s="2"/>
    </row>
    <row r="20" spans="2:9" ht="30" customHeight="1" x14ac:dyDescent="0.25">
      <c r="B20" s="10" t="s">
        <v>92</v>
      </c>
      <c r="C20" s="21">
        <v>75</v>
      </c>
      <c r="D20" s="21">
        <v>86</v>
      </c>
      <c r="E20" s="21"/>
      <c r="F20" s="21"/>
      <c r="G20" s="21"/>
      <c r="H20" s="22">
        <f>IFERROR(AVERAGE(C20:INDEX(C20:G20,SETTINGS!$C$17)),"")</f>
        <v>80.5</v>
      </c>
      <c r="I20" s="2"/>
    </row>
    <row r="21" spans="2:9" ht="30" customHeight="1" x14ac:dyDescent="0.25">
      <c r="B21" s="10" t="s">
        <v>13</v>
      </c>
      <c r="C21" s="21">
        <v>38</v>
      </c>
      <c r="D21" s="21">
        <v>72</v>
      </c>
      <c r="E21" s="21"/>
      <c r="F21" s="21"/>
      <c r="G21" s="21"/>
      <c r="H21" s="22">
        <f>IFERROR(AVERAGE(C21:INDEX(C21:G21,SETTINGS!$C$17)),"")</f>
        <v>55</v>
      </c>
      <c r="I21" s="2"/>
    </row>
    <row r="22" spans="2:9" ht="30" customHeight="1" x14ac:dyDescent="0.25">
      <c r="B22" s="10" t="s">
        <v>93</v>
      </c>
      <c r="C22" s="21"/>
      <c r="D22" s="21"/>
      <c r="E22" s="21"/>
      <c r="F22" s="21"/>
      <c r="G22" s="21"/>
      <c r="H22" s="22" t="str">
        <f>IFERROR(AVERAGE(C22:INDEX(C22:G22,SETTINGS!$C$17)),"")</f>
        <v/>
      </c>
      <c r="I22" s="2"/>
    </row>
    <row r="23" spans="2:9" ht="30" customHeight="1" x14ac:dyDescent="0.25">
      <c r="B23" s="10" t="s">
        <v>94</v>
      </c>
      <c r="C23" s="21">
        <v>25</v>
      </c>
      <c r="D23" s="21">
        <v>58</v>
      </c>
      <c r="E23" s="21"/>
      <c r="F23" s="21"/>
      <c r="G23" s="21"/>
      <c r="H23" s="22">
        <f>IFERROR(AVERAGE(C23:INDEX(C23:G23,SETTINGS!$C$17)),"")</f>
        <v>41.5</v>
      </c>
      <c r="I23" s="2"/>
    </row>
    <row r="24" spans="2:9" ht="30" customHeight="1" x14ac:dyDescent="0.25">
      <c r="B24" s="10" t="s">
        <v>95</v>
      </c>
      <c r="C24" s="21">
        <v>88</v>
      </c>
      <c r="D24" s="21">
        <v>98</v>
      </c>
      <c r="E24" s="21"/>
      <c r="F24" s="21"/>
      <c r="G24" s="21"/>
      <c r="H24" s="22">
        <f>IFERROR(AVERAGE(C24:INDEX(C24:G24,SETTINGS!$C$17)),"")</f>
        <v>93</v>
      </c>
      <c r="I24" s="2"/>
    </row>
    <row r="25" spans="2:9" ht="30" customHeight="1" x14ac:dyDescent="0.25">
      <c r="B25" s="10" t="s">
        <v>96</v>
      </c>
      <c r="C25" s="21">
        <v>33</v>
      </c>
      <c r="D25" s="21">
        <v>81</v>
      </c>
      <c r="E25" s="21"/>
      <c r="F25" s="21"/>
      <c r="G25" s="21"/>
      <c r="H25" s="22">
        <f>IFERROR(AVERAGE(C25:INDEX(C25:G25,SETTINGS!$C$17)),"")</f>
        <v>57</v>
      </c>
      <c r="I25" s="2"/>
    </row>
    <row r="26" spans="2:9" ht="30" customHeight="1" x14ac:dyDescent="0.25">
      <c r="B26" s="2"/>
      <c r="C26" s="2"/>
      <c r="D26" s="2"/>
      <c r="E26" s="2"/>
      <c r="F26" s="2"/>
      <c r="G26" s="2"/>
      <c r="H26" s="2"/>
      <c r="I26" s="2"/>
    </row>
    <row r="27" spans="2:9" x14ac:dyDescent="0.25">
      <c r="B27" s="61" t="s">
        <v>108</v>
      </c>
      <c r="C27" s="62"/>
      <c r="D27" s="62"/>
      <c r="E27" s="62"/>
      <c r="F27" s="62"/>
      <c r="G27" s="62"/>
      <c r="H27" s="63"/>
      <c r="I27" s="2"/>
    </row>
    <row r="28" spans="2:9" x14ac:dyDescent="0.25">
      <c r="B28" s="64"/>
      <c r="C28" s="58"/>
      <c r="D28" s="58"/>
      <c r="E28" s="58"/>
      <c r="F28" s="58"/>
      <c r="G28" s="58"/>
      <c r="H28" s="65"/>
      <c r="I28" s="2"/>
    </row>
    <row r="29" spans="2:9" x14ac:dyDescent="0.25">
      <c r="B29" s="66"/>
      <c r="C29" s="67"/>
      <c r="D29" s="67"/>
      <c r="E29" s="67"/>
      <c r="F29" s="67"/>
      <c r="G29" s="67"/>
      <c r="H29" s="68"/>
      <c r="I29" s="2"/>
    </row>
    <row r="30" spans="2:9" x14ac:dyDescent="0.25">
      <c r="B30" s="2"/>
      <c r="C30" s="2"/>
      <c r="D30" s="2"/>
      <c r="E30" s="2"/>
      <c r="F30" s="2"/>
      <c r="G30" s="2"/>
      <c r="H30" s="2"/>
      <c r="I30" s="2"/>
    </row>
    <row r="31" spans="2:9" x14ac:dyDescent="0.25">
      <c r="B31" s="2"/>
      <c r="C31" s="2"/>
      <c r="D31" s="2"/>
      <c r="E31" s="2"/>
      <c r="F31" s="2"/>
      <c r="G31" s="2"/>
      <c r="H31" s="2"/>
      <c r="I31" s="2"/>
    </row>
    <row r="32" spans="2:9" x14ac:dyDescent="0.25">
      <c r="B32" s="2"/>
      <c r="C32" s="2"/>
      <c r="D32" s="2"/>
      <c r="E32" s="2"/>
      <c r="F32" s="2"/>
      <c r="G32" s="2"/>
      <c r="H32" s="2"/>
      <c r="I32" s="2"/>
    </row>
    <row r="33" spans="2:9" x14ac:dyDescent="0.25">
      <c r="B33" s="2"/>
      <c r="C33" s="2"/>
      <c r="D33" s="2"/>
      <c r="E33" s="2"/>
      <c r="F33" s="2"/>
      <c r="G33" s="2"/>
      <c r="H33" s="2"/>
      <c r="I33" s="2"/>
    </row>
    <row r="34" spans="2:9" x14ac:dyDescent="0.25">
      <c r="I34" s="2"/>
    </row>
  </sheetData>
  <mergeCells count="4">
    <mergeCell ref="B1:H1"/>
    <mergeCell ref="B3:H3"/>
    <mergeCell ref="B2:H2"/>
    <mergeCell ref="B27:H29"/>
  </mergeCells>
  <dataValidations count="1">
    <dataValidation type="whole" allowBlank="1" showErrorMessage="1" errorTitle="Invalid score" error="Enter a whole number 0–100." sqref="C6:G25" xr:uid="{00000000-0002-0000-0400-000000000000}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766E"/>
  </sheetPr>
  <dimension ref="B1:D26"/>
  <sheetViews>
    <sheetView showGridLines="0" topLeftCell="A4" zoomScaleNormal="100" workbookViewId="0">
      <selection activeCell="G12" sqref="G12"/>
    </sheetView>
  </sheetViews>
  <sheetFormatPr defaultRowHeight="15" x14ac:dyDescent="0.25"/>
  <cols>
    <col min="1" max="1" width="4" customWidth="1"/>
    <col min="2" max="2" width="12" customWidth="1"/>
    <col min="3" max="3" width="32" customWidth="1"/>
    <col min="4" max="4" width="18" customWidth="1"/>
  </cols>
  <sheetData>
    <row r="1" spans="2:4" ht="51.95" customHeight="1" x14ac:dyDescent="0.25">
      <c r="B1" s="57" t="s">
        <v>109</v>
      </c>
      <c r="C1" s="58"/>
      <c r="D1" s="58"/>
    </row>
    <row r="2" spans="2:4" ht="26.1" customHeight="1" x14ac:dyDescent="0.25">
      <c r="B2" s="79" t="s">
        <v>110</v>
      </c>
      <c r="C2" s="58"/>
      <c r="D2" s="58"/>
    </row>
    <row r="3" spans="2:4" ht="38.1" customHeight="1" x14ac:dyDescent="0.25">
      <c r="B3" s="81" t="str">
        <f>IF(MAX($D$6:$D$26)=0,"🏆  OVERALL LEADER:  No results yet","🏆  OVERALL LEADER:  "&amp;INDEX($C$6:$C$26,MATCH(MAX($D$6:$D$26),$D$6:$D$26,0))&amp;"  —  "&amp;MAX($D$6:$D$26)&amp;" pts")</f>
        <v>🏆  OVERALL LEADER:  Alexa Amesimeku  —  43 pts</v>
      </c>
      <c r="C3" s="72"/>
      <c r="D3" s="73"/>
    </row>
    <row r="4" spans="2:4" ht="12" customHeight="1" x14ac:dyDescent="0.25"/>
    <row r="5" spans="2:4" ht="32.1" customHeight="1" x14ac:dyDescent="0.25">
      <c r="B5" s="7" t="s">
        <v>111</v>
      </c>
      <c r="C5" s="7" t="s">
        <v>80</v>
      </c>
      <c r="D5" s="7" t="s">
        <v>112</v>
      </c>
    </row>
    <row r="6" spans="2:4" ht="30" customHeight="1" x14ac:dyDescent="0.25">
      <c r="B6" s="24">
        <f t="array" ref="B6">SUMPRODUCT((D$6:D$26&gt;D6)/COUNTIF(D$6:D$26,D$6:D$26))+1</f>
        <v>1</v>
      </c>
      <c r="C6" s="10" t="str">
        <f>IFERROR(INDEX(CALCULATIONS!$K$2:$K$22,MATCH(LARGE(CALCULATIONS!$V$2:$V$22,ROW()-5),CALCULATIONS!$V$2:$V$22,0)),"")</f>
        <v>Alexa Amesimeku</v>
      </c>
      <c r="D6" s="25">
        <f>ROUND(LARGE(CALCULATIONS!$V$2:$V$22,ROW()-5),0)</f>
        <v>43</v>
      </c>
    </row>
    <row r="7" spans="2:4" ht="30" customHeight="1" x14ac:dyDescent="0.25">
      <c r="B7" s="24">
        <f t="array" ref="B7">SUMPRODUCT((D$6:D$26&gt;D7)/COUNTIF(D$6:D$26,D$6:D$26))+1</f>
        <v>2</v>
      </c>
      <c r="C7" s="10" t="str">
        <f>IFERROR(INDEX(CALCULATIONS!$K$2:$K$22,MATCH(LARGE(CALCULATIONS!$V$2:$V$22,ROW()-5),CALCULATIONS!$V$2:$V$22,0)),"")</f>
        <v>Oscar Day-Duran</v>
      </c>
      <c r="D7" s="25">
        <f>ROUND(LARGE(CALCULATIONS!$V$2:$V$22,ROW()-5),0)</f>
        <v>36</v>
      </c>
    </row>
    <row r="8" spans="2:4" ht="30" customHeight="1" x14ac:dyDescent="0.25">
      <c r="B8" s="24">
        <f t="array" ref="B8">SUMPRODUCT((D$6:D$26&gt;D8)/COUNTIF(D$6:D$26,D$6:D$26))+1</f>
        <v>2</v>
      </c>
      <c r="C8" s="10" t="str">
        <f>IFERROR(INDEX(CALCULATIONS!$K$2:$K$22,MATCH(LARGE(CALCULATIONS!$V$2:$V$22,ROW()-5),CALCULATIONS!$V$2:$V$22,0)),"")</f>
        <v>Alfie Foley</v>
      </c>
      <c r="D8" s="25">
        <f>ROUND(LARGE(CALCULATIONS!$V$2:$V$22,ROW()-5),0)</f>
        <v>36</v>
      </c>
    </row>
    <row r="9" spans="2:4" ht="30" customHeight="1" x14ac:dyDescent="0.25">
      <c r="B9" s="24">
        <f t="array" ref="B9">SUMPRODUCT((D$6:D$26&gt;D9)/COUNTIF(D$6:D$26,D$6:D$26))+1</f>
        <v>3</v>
      </c>
      <c r="C9" s="10" t="str">
        <f>IFERROR(INDEX(CALCULATIONS!$K$2:$K$22,MATCH(LARGE(CALCULATIONS!$V$2:$V$22,ROW()-5),CALCULATIONS!$V$2:$V$22,0)),"")</f>
        <v>Xander Meijer</v>
      </c>
      <c r="D9" s="25">
        <f>ROUND(LARGE(CALCULATIONS!$V$2:$V$22,ROW()-5),0)</f>
        <v>34</v>
      </c>
    </row>
    <row r="10" spans="2:4" ht="30" customHeight="1" x14ac:dyDescent="0.25">
      <c r="B10" s="24">
        <f t="array" ref="B10">SUMPRODUCT((D$6:D$26&gt;D10)/COUNTIF(D$6:D$26,D$6:D$26))+1</f>
        <v>4</v>
      </c>
      <c r="C10" s="10" t="str">
        <f>IFERROR(INDEX(CALCULATIONS!$K$2:$K$22,MATCH(LARGE(CALCULATIONS!$V$2:$V$22,ROW()-5),CALCULATIONS!$V$2:$V$22,0)),"")</f>
        <v>Chinedu Chile</v>
      </c>
      <c r="D10" s="25">
        <f>ROUND(LARGE(CALCULATIONS!$V$2:$V$22,ROW()-5),0)</f>
        <v>31</v>
      </c>
    </row>
    <row r="11" spans="2:4" ht="30" customHeight="1" x14ac:dyDescent="0.25">
      <c r="B11" s="24">
        <f t="array" ref="B11">SUMPRODUCT((D$6:D$26&gt;D11)/COUNTIF(D$6:D$26,D$6:D$26))+1</f>
        <v>4</v>
      </c>
      <c r="C11" s="10" t="str">
        <f>IFERROR(INDEX(CALCULATIONS!$K$2:$K$22,MATCH(LARGE(CALCULATIONS!$V$2:$V$22,ROW()-5),CALCULATIONS!$V$2:$V$22,0)),"")</f>
        <v>Ava Swinfen</v>
      </c>
      <c r="D11" s="25">
        <f>ROUND(LARGE(CALCULATIONS!$V$2:$V$22,ROW()-5),0)</f>
        <v>31</v>
      </c>
    </row>
    <row r="12" spans="2:4" ht="30" customHeight="1" x14ac:dyDescent="0.25">
      <c r="B12" s="24">
        <f t="array" ref="B12">SUMPRODUCT((D$6:D$26&gt;D12)/COUNTIF(D$6:D$26,D$6:D$26))+1</f>
        <v>5</v>
      </c>
      <c r="C12" s="10" t="str">
        <f>IFERROR(INDEX(CALCULATIONS!$K$2:$K$22,MATCH(LARGE(CALCULATIONS!$V$2:$V$22,ROW()-5),CALCULATIONS!$V$2:$V$22,0)),"")</f>
        <v>Rory Bowman</v>
      </c>
      <c r="D12" s="25">
        <f>ROUND(LARGE(CALCULATIONS!$V$2:$V$22,ROW()-5),0)</f>
        <v>30</v>
      </c>
    </row>
    <row r="13" spans="2:4" ht="30" customHeight="1" x14ac:dyDescent="0.25">
      <c r="B13" s="24">
        <f t="array" ref="B13">SUMPRODUCT((D$6:D$26&gt;D13)/COUNTIF(D$6:D$26,D$6:D$26))+1</f>
        <v>5</v>
      </c>
      <c r="C13" s="10" t="str">
        <f>IFERROR(INDEX(CALCULATIONS!$K$2:$K$22,MATCH(LARGE(CALCULATIONS!$V$2:$V$22,ROW()-5),CALCULATIONS!$V$2:$V$22,0)),"")</f>
        <v>Joe Paige</v>
      </c>
      <c r="D13" s="25">
        <f>ROUND(LARGE(CALCULATIONS!$V$2:$V$22,ROW()-5),0)</f>
        <v>30</v>
      </c>
    </row>
    <row r="14" spans="2:4" ht="30" customHeight="1" x14ac:dyDescent="0.25">
      <c r="B14" s="24">
        <f t="array" ref="B14">SUMPRODUCT((D$6:D$26&gt;D14)/COUNTIF(D$6:D$26,D$6:D$26))+1</f>
        <v>6</v>
      </c>
      <c r="C14" s="10" t="str">
        <f>IFERROR(INDEX(CALCULATIONS!$K$2:$K$22,MATCH(LARGE(CALCULATIONS!$V$2:$V$22,ROW()-5),CALCULATIONS!$V$2:$V$22,0)),"")</f>
        <v>Melody Zhaeentan</v>
      </c>
      <c r="D14" s="25">
        <f>ROUND(LARGE(CALCULATIONS!$V$2:$V$22,ROW()-5),0)</f>
        <v>27</v>
      </c>
    </row>
    <row r="15" spans="2:4" ht="30" customHeight="1" x14ac:dyDescent="0.25">
      <c r="B15" s="24">
        <f t="array" ref="B15">SUMPRODUCT((D$6:D$26&gt;D15)/COUNTIF(D$6:D$26,D$6:D$26))+1</f>
        <v>7</v>
      </c>
      <c r="C15" s="10" t="str">
        <f>IFERROR(INDEX(CALCULATIONS!$K$2:$K$22,MATCH(LARGE(CALCULATIONS!$V$2:$V$22,ROW()-5),CALCULATIONS!$V$2:$V$22,0)),"")</f>
        <v>David Wu</v>
      </c>
      <c r="D15" s="25">
        <f>ROUND(LARGE(CALCULATIONS!$V$2:$V$22,ROW()-5),0)</f>
        <v>26</v>
      </c>
    </row>
    <row r="16" spans="2:4" ht="30" customHeight="1" x14ac:dyDescent="0.25">
      <c r="B16" s="24">
        <f t="array" ref="B16">SUMPRODUCT((D$6:D$26&gt;D16)/COUNTIF(D$6:D$26,D$6:D$26))+1</f>
        <v>8</v>
      </c>
      <c r="C16" s="10" t="str">
        <f>IFERROR(INDEX(CALCULATIONS!$K$2:$K$22,MATCH(LARGE(CALCULATIONS!$V$2:$V$22,ROW()-5),CALCULATIONS!$V$2:$V$22,0)),"")</f>
        <v>Azlan Husain</v>
      </c>
      <c r="D16" s="25">
        <f>ROUND(LARGE(CALCULATIONS!$V$2:$V$22,ROW()-5),0)</f>
        <v>20</v>
      </c>
    </row>
    <row r="17" spans="2:4" ht="30" customHeight="1" x14ac:dyDescent="0.25">
      <c r="B17" s="24">
        <f t="array" ref="B17">SUMPRODUCT((D$6:D$26&gt;D17)/COUNTIF(D$6:D$26,D$6:D$26))+1</f>
        <v>9</v>
      </c>
      <c r="C17" s="10" t="str">
        <f>IFERROR(INDEX(CALCULATIONS!$K$2:$K$22,MATCH(LARGE(CALCULATIONS!$V$2:$V$22,ROW()-5),CALCULATIONS!$V$2:$V$22,0)),"")</f>
        <v>Edwin Mayers</v>
      </c>
      <c r="D17" s="25">
        <f>ROUND(LARGE(CALCULATIONS!$V$2:$V$22,ROW()-5),0)</f>
        <v>17</v>
      </c>
    </row>
    <row r="18" spans="2:4" ht="30" customHeight="1" x14ac:dyDescent="0.25">
      <c r="B18" s="24">
        <f t="array" ref="B18">SUMPRODUCT((D$6:D$26&gt;D18)/COUNTIF(D$6:D$26,D$6:D$26))+1</f>
        <v>10</v>
      </c>
      <c r="C18" s="10" t="str">
        <f>IFERROR(INDEX(CALCULATIONS!$K$2:$K$22,MATCH(LARGE(CALCULATIONS!$V$2:$V$22,ROW()-5),CALCULATIONS!$V$2:$V$22,0)),"")</f>
        <v>Sophie Barker</v>
      </c>
      <c r="D18" s="25">
        <f>ROUND(LARGE(CALCULATIONS!$V$2:$V$22,ROW()-5),0)</f>
        <v>0</v>
      </c>
    </row>
    <row r="19" spans="2:4" ht="30" customHeight="1" x14ac:dyDescent="0.25">
      <c r="B19" s="24">
        <f t="array" ref="B19">SUMPRODUCT((D$6:D$26&gt;D19)/COUNTIF(D$6:D$26,D$6:D$26))+1</f>
        <v>10</v>
      </c>
      <c r="C19" s="10" t="str">
        <f>IFERROR(INDEX(CALCULATIONS!$K$2:$K$22,MATCH(LARGE(CALCULATIONS!$V$2:$V$22,ROW()-5),CALCULATIONS!$V$2:$V$22,0)),"")</f>
        <v>Rebecca Seymour</v>
      </c>
      <c r="D19" s="25">
        <f>ROUND(LARGE(CALCULATIONS!$V$2:$V$22,ROW()-5),0)</f>
        <v>0</v>
      </c>
    </row>
    <row r="20" spans="2:4" ht="30" customHeight="1" x14ac:dyDescent="0.25">
      <c r="B20" s="24">
        <f t="array" ref="B20">SUMPRODUCT((D$6:D$26&gt;D20)/COUNTIF(D$6:D$26,D$6:D$26))+1</f>
        <v>10</v>
      </c>
      <c r="C20" s="10" t="str">
        <f>IFERROR(INDEX(CALCULATIONS!$K$2:$K$22,MATCH(LARGE(CALCULATIONS!$V$2:$V$22,ROW()-5),CALCULATIONS!$V$2:$V$22,0)),"")</f>
        <v>Nina De Saram</v>
      </c>
      <c r="D20" s="25">
        <f>ROUND(LARGE(CALCULATIONS!$V$2:$V$22,ROW()-5),0)</f>
        <v>0</v>
      </c>
    </row>
    <row r="21" spans="2:4" ht="30" customHeight="1" x14ac:dyDescent="0.25">
      <c r="B21" s="24">
        <f t="array" ref="B21">SUMPRODUCT((D$6:D$26&gt;D21)/COUNTIF(D$6:D$26,D$6:D$26))+1</f>
        <v>10</v>
      </c>
      <c r="C21" s="10" t="str">
        <f>IFERROR(INDEX(CALCULATIONS!$K$2:$K$22,MATCH(LARGE(CALCULATIONS!$V$2:$V$22,ROW()-5),CALCULATIONS!$V$2:$V$22,0)),"")</f>
        <v>Lia Li</v>
      </c>
      <c r="D21" s="25">
        <f>ROUND(LARGE(CALCULATIONS!$V$2:$V$22,ROW()-5),0)</f>
        <v>0</v>
      </c>
    </row>
    <row r="22" spans="2:4" ht="30" customHeight="1" x14ac:dyDescent="0.25">
      <c r="B22" s="24">
        <f t="array" ref="B22">SUMPRODUCT((D$6:D$26&gt;D22)/COUNTIF(D$6:D$26,D$6:D$26))+1</f>
        <v>10</v>
      </c>
      <c r="C22" s="10" t="str">
        <f>IFERROR(INDEX(CALCULATIONS!$K$2:$K$22,MATCH(LARGE(CALCULATIONS!$V$2:$V$22,ROW()-5),CALCULATIONS!$V$2:$V$22,0)),"")</f>
        <v>Iona Smith</v>
      </c>
      <c r="D22" s="25">
        <f>ROUND(LARGE(CALCULATIONS!$V$2:$V$22,ROW()-5),0)</f>
        <v>0</v>
      </c>
    </row>
    <row r="23" spans="2:4" ht="30" customHeight="1" x14ac:dyDescent="0.25">
      <c r="B23" s="24">
        <f t="array" ref="B23">SUMPRODUCT((D$6:D$26&gt;D23)/COUNTIF(D$6:D$26,D$6:D$26))+1</f>
        <v>10</v>
      </c>
      <c r="C23" s="10" t="str">
        <f>IFERROR(INDEX(CALCULATIONS!$K$2:$K$22,MATCH(LARGE(CALCULATIONS!$V$2:$V$22,ROW()-5),CALCULATIONS!$V$2:$V$22,0)),"")</f>
        <v>Esme Beston</v>
      </c>
      <c r="D23" s="25">
        <f>ROUND(LARGE(CALCULATIONS!$V$2:$V$22,ROW()-5),0)</f>
        <v>0</v>
      </c>
    </row>
    <row r="24" spans="2:4" ht="30" customHeight="1" x14ac:dyDescent="0.25">
      <c r="B24" s="24">
        <f t="array" ref="B24">SUMPRODUCT((D$6:D$26&gt;D24)/COUNTIF(D$6:D$26,D$6:D$26))+1</f>
        <v>10</v>
      </c>
      <c r="C24" s="10" t="str">
        <f>IFERROR(INDEX(CALCULATIONS!$K$2:$K$22,MATCH(LARGE(CALCULATIONS!$V$2:$V$22,ROW()-5),CALCULATIONS!$V$2:$V$22,0)),"")</f>
        <v>Emily Warburton</v>
      </c>
      <c r="D24" s="25">
        <f>ROUND(LARGE(CALCULATIONS!$V$2:$V$22,ROW()-5),0)</f>
        <v>0</v>
      </c>
    </row>
    <row r="25" spans="2:4" ht="30" customHeight="1" x14ac:dyDescent="0.25">
      <c r="B25" s="24">
        <f t="array" ref="B25">SUMPRODUCT((D$6:D$26&gt;D25)/COUNTIF(D$6:D$26,D$6:D$26))+1</f>
        <v>10</v>
      </c>
      <c r="C25" s="10" t="str">
        <f>IFERROR(INDEX(CALCULATIONS!$K$2:$K$22,MATCH(LARGE(CALCULATIONS!$V$2:$V$22,ROW()-5),CALCULATIONS!$V$2:$V$22,0)),"")</f>
        <v>Daniel Liu</v>
      </c>
      <c r="D25" s="25">
        <f>ROUND(LARGE(CALCULATIONS!$V$2:$V$22,ROW()-5),0)</f>
        <v>0</v>
      </c>
    </row>
    <row r="26" spans="2:4" ht="30" customHeight="1" x14ac:dyDescent="0.25">
      <c r="B26" s="24">
        <f t="array" ref="B26">SUMPRODUCT((D$6:D$26&gt;D26)/COUNTIF(D$6:D$26,D$6:D$26))+1</f>
        <v>10</v>
      </c>
      <c r="C26" s="10" t="str">
        <f>IFERROR(INDEX(CALCULATIONS!$K$2:$K$22,MATCH(LARGE(CALCULATIONS!$V$2:$V$22,ROW()-5),CALCULATIONS!$V$2:$V$22,0)),"")</f>
        <v>Alyza Rai</v>
      </c>
      <c r="D26" s="25">
        <f>ROUND(LARGE(CALCULATIONS!$V$2:$V$22,ROW()-5),0)</f>
        <v>0</v>
      </c>
    </row>
  </sheetData>
  <sheetProtection algorithmName="SHA-512" hashValue="hBX7hgGIUDIkBbAGbeAXxCqKGEPwyMIMqNoydi+9YfUIxaZ2sjLnHIBijqTHgXv9gILeH/Ae27LLH++3E4eumw==" saltValue="+JJl2jWY2dEEVPpOFBv7Zg==" spinCount="100000" sheet="1" formatCells="0" formatColumns="0" formatRows="0"/>
  <mergeCells count="3">
    <mergeCell ref="B1:D1"/>
    <mergeCell ref="B2:D2"/>
    <mergeCell ref="B3:D3"/>
  </mergeCells>
  <conditionalFormatting sqref="B6:B26">
    <cfRule type="expression" dxfId="68" priority="1">
      <formula>$B6=1</formula>
    </cfRule>
    <cfRule type="expression" dxfId="67" priority="2">
      <formula>$B6=2</formula>
    </cfRule>
    <cfRule type="expression" dxfId="66" priority="3">
      <formula>$B6=3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9488"/>
  </sheetPr>
  <dimension ref="B1:D28"/>
  <sheetViews>
    <sheetView showGridLines="0" topLeftCell="A7" zoomScale="90" workbookViewId="0">
      <selection activeCell="G11" sqref="G11"/>
    </sheetView>
  </sheetViews>
  <sheetFormatPr defaultRowHeight="15" x14ac:dyDescent="0.25"/>
  <cols>
    <col min="1" max="1" width="28.5703125" customWidth="1"/>
    <col min="2" max="2" width="12" customWidth="1"/>
    <col min="3" max="3" width="32" customWidth="1"/>
    <col min="4" max="4" width="18" customWidth="1"/>
  </cols>
  <sheetData>
    <row r="1" spans="2:4" ht="51.95" customHeight="1" x14ac:dyDescent="0.25">
      <c r="B1" s="57" t="s">
        <v>113</v>
      </c>
      <c r="C1" s="58"/>
      <c r="D1" s="58"/>
    </row>
    <row r="2" spans="2:4" ht="26.1" customHeight="1" x14ac:dyDescent="0.25">
      <c r="B2" s="79" t="s">
        <v>114</v>
      </c>
      <c r="C2" s="58"/>
      <c r="D2" s="58"/>
    </row>
    <row r="3" spans="2:4" ht="30" customHeight="1" x14ac:dyDescent="0.25">
      <c r="B3" s="1" t="s">
        <v>24</v>
      </c>
      <c r="C3" s="26">
        <f>HOME!C7</f>
        <v>1</v>
      </c>
    </row>
    <row r="4" spans="2:4" ht="9.9499999999999993" customHeight="1" x14ac:dyDescent="0.25"/>
    <row r="5" spans="2:4" ht="38.1" customHeight="1" x14ac:dyDescent="0.25">
      <c r="B5" s="81" t="str">
        <f>IF(MAX($D$8:$D$28)=0,"🏆  GW"&amp;$C$3&amp;" WINNER:  No results yet","🏆  GW"&amp;$C$3&amp;" WINNER:  "&amp;INDEX($C$8:$C$28,MATCH(MAX($D$8:$D$28),$D$8:$D$28,0))&amp;"  —  "&amp;MAX($D$8:$D$28)&amp;" pts")</f>
        <v>🏆  GW1 WINNER:  Alexa Amesimeku  —  43 pts</v>
      </c>
      <c r="C5" s="72"/>
      <c r="D5" s="73"/>
    </row>
    <row r="6" spans="2:4" ht="12" customHeight="1" x14ac:dyDescent="0.25"/>
    <row r="7" spans="2:4" ht="32.1" customHeight="1" x14ac:dyDescent="0.25">
      <c r="B7" s="7" t="s">
        <v>111</v>
      </c>
      <c r="C7" s="7" t="s">
        <v>80</v>
      </c>
      <c r="D7" s="7" t="s">
        <v>115</v>
      </c>
    </row>
    <row r="8" spans="2:4" ht="30" customHeight="1" x14ac:dyDescent="0.25">
      <c r="B8" s="24">
        <f t="array" ref="B8">SUMPRODUCT((D$8:D$28&gt;D8)/COUNTIF(D$8:D$28,D$8:D$28))+1</f>
        <v>1</v>
      </c>
      <c r="C8" s="10" t="str">
        <f>IFERROR(INDEX(CALCULATIONS!$K$2:$K$22,MATCH(LARGE(CALCULATIONS!$V$2:$V$22,ROW()-7),CALCULATIONS!$V$2:$V$22,0)),"")</f>
        <v>Alexa Amesimeku</v>
      </c>
      <c r="D8" s="25">
        <f>ROUND(LARGE(CALCULATIONS!$V$2:$V$22,ROW()-7),0)</f>
        <v>43</v>
      </c>
    </row>
    <row r="9" spans="2:4" ht="30" customHeight="1" x14ac:dyDescent="0.25">
      <c r="B9" s="24">
        <f t="array" ref="B9">SUMPRODUCT((D$8:D$28&gt;D9)/COUNTIF(D$8:D$28,D$8:D$28))+1</f>
        <v>2</v>
      </c>
      <c r="C9" s="10" t="str">
        <f>IFERROR(INDEX(CALCULATIONS!$K$2:$K$22,MATCH(LARGE(CALCULATIONS!$V$2:$V$22,ROW()-7),CALCULATIONS!$V$2:$V$22,0)),"")</f>
        <v>Oscar Day-Duran</v>
      </c>
      <c r="D9" s="25">
        <f>ROUND(LARGE(CALCULATIONS!$V$2:$V$22,ROW()-7),0)</f>
        <v>36</v>
      </c>
    </row>
    <row r="10" spans="2:4" ht="30" customHeight="1" x14ac:dyDescent="0.25">
      <c r="B10" s="24">
        <f t="array" ref="B10">SUMPRODUCT((D$8:D$28&gt;D10)/COUNTIF(D$8:D$28,D$8:D$28))+1</f>
        <v>2</v>
      </c>
      <c r="C10" s="10" t="str">
        <f>IFERROR(INDEX(CALCULATIONS!$K$2:$K$22,MATCH(LARGE(CALCULATIONS!$V$2:$V$22,ROW()-7),CALCULATIONS!$V$2:$V$22,0)),"")</f>
        <v>Alfie Foley</v>
      </c>
      <c r="D10" s="25">
        <f>ROUND(LARGE(CALCULATIONS!$V$2:$V$22,ROW()-7),0)</f>
        <v>36</v>
      </c>
    </row>
    <row r="11" spans="2:4" ht="30" customHeight="1" x14ac:dyDescent="0.25">
      <c r="B11" s="24">
        <f t="array" ref="B11">SUMPRODUCT((D$8:D$28&gt;D11)/COUNTIF(D$8:D$28,D$8:D$28))+1</f>
        <v>3</v>
      </c>
      <c r="C11" s="10" t="str">
        <f>IFERROR(INDEX(CALCULATIONS!$K$2:$K$22,MATCH(LARGE(CALCULATIONS!$V$2:$V$22,ROW()-7),CALCULATIONS!$V$2:$V$22,0)),"")</f>
        <v>Xander Meijer</v>
      </c>
      <c r="D11" s="25">
        <f>ROUND(LARGE(CALCULATIONS!$V$2:$V$22,ROW()-7),0)</f>
        <v>34</v>
      </c>
    </row>
    <row r="12" spans="2:4" ht="30" customHeight="1" x14ac:dyDescent="0.25">
      <c r="B12" s="24">
        <f t="array" ref="B12">SUMPRODUCT((D$8:D$28&gt;D12)/COUNTIF(D$8:D$28,D$8:D$28))+1</f>
        <v>4</v>
      </c>
      <c r="C12" s="10" t="str">
        <f>IFERROR(INDEX(CALCULATIONS!$K$2:$K$22,MATCH(LARGE(CALCULATIONS!$V$2:$V$22,ROW()-7),CALCULATIONS!$V$2:$V$22,0)),"")</f>
        <v>Chinedu Chile</v>
      </c>
      <c r="D12" s="25">
        <f>ROUND(LARGE(CALCULATIONS!$V$2:$V$22,ROW()-7),0)</f>
        <v>31</v>
      </c>
    </row>
    <row r="13" spans="2:4" ht="30" customHeight="1" x14ac:dyDescent="0.25">
      <c r="B13" s="24">
        <f t="array" ref="B13">SUMPRODUCT((D$8:D$28&gt;D13)/COUNTIF(D$8:D$28,D$8:D$28))+1</f>
        <v>4</v>
      </c>
      <c r="C13" s="10" t="str">
        <f>IFERROR(INDEX(CALCULATIONS!$K$2:$K$22,MATCH(LARGE(CALCULATIONS!$V$2:$V$22,ROW()-7),CALCULATIONS!$V$2:$V$22,0)),"")</f>
        <v>Ava Swinfen</v>
      </c>
      <c r="D13" s="25">
        <f>ROUND(LARGE(CALCULATIONS!$V$2:$V$22,ROW()-7),0)</f>
        <v>31</v>
      </c>
    </row>
    <row r="14" spans="2:4" ht="30" customHeight="1" x14ac:dyDescent="0.25">
      <c r="B14" s="24">
        <f t="array" ref="B14">SUMPRODUCT((D$8:D$28&gt;D14)/COUNTIF(D$8:D$28,D$8:D$28))+1</f>
        <v>5</v>
      </c>
      <c r="C14" s="10" t="str">
        <f>IFERROR(INDEX(CALCULATIONS!$K$2:$K$22,MATCH(LARGE(CALCULATIONS!$V$2:$V$22,ROW()-7),CALCULATIONS!$V$2:$V$22,0)),"")</f>
        <v>Rory Bowman</v>
      </c>
      <c r="D14" s="25">
        <f>ROUND(LARGE(CALCULATIONS!$V$2:$V$22,ROW()-7),0)</f>
        <v>30</v>
      </c>
    </row>
    <row r="15" spans="2:4" ht="30" customHeight="1" x14ac:dyDescent="0.25">
      <c r="B15" s="24">
        <f t="array" ref="B15">SUMPRODUCT((D$8:D$28&gt;D15)/COUNTIF(D$8:D$28,D$8:D$28))+1</f>
        <v>5</v>
      </c>
      <c r="C15" s="10" t="str">
        <f>IFERROR(INDEX(CALCULATIONS!$K$2:$K$22,MATCH(LARGE(CALCULATIONS!$V$2:$V$22,ROW()-7),CALCULATIONS!$V$2:$V$22,0)),"")</f>
        <v>Joe Paige</v>
      </c>
      <c r="D15" s="25">
        <f>ROUND(LARGE(CALCULATIONS!$V$2:$V$22,ROW()-7),0)</f>
        <v>30</v>
      </c>
    </row>
    <row r="16" spans="2:4" ht="30" customHeight="1" x14ac:dyDescent="0.25">
      <c r="B16" s="24">
        <f t="array" ref="B16">SUMPRODUCT((D$8:D$28&gt;D16)/COUNTIF(D$8:D$28,D$8:D$28))+1</f>
        <v>6</v>
      </c>
      <c r="C16" s="10" t="str">
        <f>IFERROR(INDEX(CALCULATIONS!$K$2:$K$22,MATCH(LARGE(CALCULATIONS!$V$2:$V$22,ROW()-7),CALCULATIONS!$V$2:$V$22,0)),"")</f>
        <v>Melody Zhaeentan</v>
      </c>
      <c r="D16" s="25">
        <f>ROUND(LARGE(CALCULATIONS!$V$2:$V$22,ROW()-7),0)</f>
        <v>27</v>
      </c>
    </row>
    <row r="17" spans="2:4" ht="30" customHeight="1" x14ac:dyDescent="0.25">
      <c r="B17" s="24">
        <f t="array" ref="B17">SUMPRODUCT((D$8:D$28&gt;D17)/COUNTIF(D$8:D$28,D$8:D$28))+1</f>
        <v>7</v>
      </c>
      <c r="C17" s="10" t="str">
        <f>IFERROR(INDEX(CALCULATIONS!$K$2:$K$22,MATCH(LARGE(CALCULATIONS!$V$2:$V$22,ROW()-7),CALCULATIONS!$V$2:$V$22,0)),"")</f>
        <v>David Wu</v>
      </c>
      <c r="D17" s="25">
        <f>ROUND(LARGE(CALCULATIONS!$V$2:$V$22,ROW()-7),0)</f>
        <v>26</v>
      </c>
    </row>
    <row r="18" spans="2:4" ht="30" customHeight="1" x14ac:dyDescent="0.25">
      <c r="B18" s="24">
        <f t="array" ref="B18">SUMPRODUCT((D$8:D$28&gt;D18)/COUNTIF(D$8:D$28,D$8:D$28))+1</f>
        <v>8</v>
      </c>
      <c r="C18" s="10" t="str">
        <f>IFERROR(INDEX(CALCULATIONS!$K$2:$K$22,MATCH(LARGE(CALCULATIONS!$V$2:$V$22,ROW()-7),CALCULATIONS!$V$2:$V$22,0)),"")</f>
        <v>Azlan Husain</v>
      </c>
      <c r="D18" s="25">
        <f>ROUND(LARGE(CALCULATIONS!$V$2:$V$22,ROW()-7),0)</f>
        <v>20</v>
      </c>
    </row>
    <row r="19" spans="2:4" ht="30" customHeight="1" x14ac:dyDescent="0.25">
      <c r="B19" s="24">
        <f t="array" ref="B19">SUMPRODUCT((D$8:D$28&gt;D19)/COUNTIF(D$8:D$28,D$8:D$28))+1</f>
        <v>9</v>
      </c>
      <c r="C19" s="10" t="str">
        <f>IFERROR(INDEX(CALCULATIONS!$K$2:$K$22,MATCH(LARGE(CALCULATIONS!$V$2:$V$22,ROW()-7),CALCULATIONS!$V$2:$V$22,0)),"")</f>
        <v>Edwin Mayers</v>
      </c>
      <c r="D19" s="25">
        <f>ROUND(LARGE(CALCULATIONS!$V$2:$V$22,ROW()-7),0)</f>
        <v>17</v>
      </c>
    </row>
    <row r="20" spans="2:4" ht="30" customHeight="1" x14ac:dyDescent="0.25">
      <c r="B20" s="24">
        <f t="array" ref="B20">SUMPRODUCT((D$8:D$28&gt;D20)/COUNTIF(D$8:D$28,D$8:D$28))+1</f>
        <v>10</v>
      </c>
      <c r="C20" s="10" t="str">
        <f>IFERROR(INDEX(CALCULATIONS!$K$2:$K$22,MATCH(LARGE(CALCULATIONS!$V$2:$V$22,ROW()-7),CALCULATIONS!$V$2:$V$22,0)),"")</f>
        <v>Sophie Barker</v>
      </c>
      <c r="D20" s="25">
        <f>ROUND(LARGE(CALCULATIONS!$V$2:$V$22,ROW()-7),0)</f>
        <v>0</v>
      </c>
    </row>
    <row r="21" spans="2:4" ht="30" customHeight="1" x14ac:dyDescent="0.25">
      <c r="B21" s="24">
        <f t="array" ref="B21">SUMPRODUCT((D$8:D$28&gt;D21)/COUNTIF(D$8:D$28,D$8:D$28))+1</f>
        <v>10</v>
      </c>
      <c r="C21" s="10" t="str">
        <f>IFERROR(INDEX(CALCULATIONS!$K$2:$K$22,MATCH(LARGE(CALCULATIONS!$V$2:$V$22,ROW()-7),CALCULATIONS!$V$2:$V$22,0)),"")</f>
        <v>Rebecca Seymour</v>
      </c>
      <c r="D21" s="25">
        <f>ROUND(LARGE(CALCULATIONS!$V$2:$V$22,ROW()-7),0)</f>
        <v>0</v>
      </c>
    </row>
    <row r="22" spans="2:4" ht="30" customHeight="1" x14ac:dyDescent="0.25">
      <c r="B22" s="24">
        <f t="array" ref="B22">SUMPRODUCT((D$8:D$28&gt;D22)/COUNTIF(D$8:D$28,D$8:D$28))+1</f>
        <v>10</v>
      </c>
      <c r="C22" s="10" t="str">
        <f>IFERROR(INDEX(CALCULATIONS!$K$2:$K$22,MATCH(LARGE(CALCULATIONS!$V$2:$V$22,ROW()-7),CALCULATIONS!$V$2:$V$22,0)),"")</f>
        <v>Nina De Saram</v>
      </c>
      <c r="D22" s="25">
        <f>ROUND(LARGE(CALCULATIONS!$V$2:$V$22,ROW()-7),0)</f>
        <v>0</v>
      </c>
    </row>
    <row r="23" spans="2:4" ht="30" customHeight="1" x14ac:dyDescent="0.25">
      <c r="B23" s="24">
        <f t="array" ref="B23">SUMPRODUCT((D$8:D$28&gt;D23)/COUNTIF(D$8:D$28,D$8:D$28))+1</f>
        <v>10</v>
      </c>
      <c r="C23" s="10" t="str">
        <f>IFERROR(INDEX(CALCULATIONS!$K$2:$K$22,MATCH(LARGE(CALCULATIONS!$V$2:$V$22,ROW()-7),CALCULATIONS!$V$2:$V$22,0)),"")</f>
        <v>Lia Li</v>
      </c>
      <c r="D23" s="25">
        <f>ROUND(LARGE(CALCULATIONS!$V$2:$V$22,ROW()-7),0)</f>
        <v>0</v>
      </c>
    </row>
    <row r="24" spans="2:4" ht="30" customHeight="1" x14ac:dyDescent="0.25">
      <c r="B24" s="24">
        <f t="array" ref="B24">SUMPRODUCT((D$8:D$28&gt;D24)/COUNTIF(D$8:D$28,D$8:D$28))+1</f>
        <v>10</v>
      </c>
      <c r="C24" s="10" t="str">
        <f>IFERROR(INDEX(CALCULATIONS!$K$2:$K$22,MATCH(LARGE(CALCULATIONS!$V$2:$V$22,ROW()-7),CALCULATIONS!$V$2:$V$22,0)),"")</f>
        <v>Iona Smith</v>
      </c>
      <c r="D24" s="25">
        <f>ROUND(LARGE(CALCULATIONS!$V$2:$V$22,ROW()-7),0)</f>
        <v>0</v>
      </c>
    </row>
    <row r="25" spans="2:4" ht="30" customHeight="1" x14ac:dyDescent="0.25">
      <c r="B25" s="24">
        <f t="array" ref="B25">SUMPRODUCT((D$8:D$28&gt;D25)/COUNTIF(D$8:D$28,D$8:D$28))+1</f>
        <v>10</v>
      </c>
      <c r="C25" s="10" t="str">
        <f>IFERROR(INDEX(CALCULATIONS!$K$2:$K$22,MATCH(LARGE(CALCULATIONS!$V$2:$V$22,ROW()-7),CALCULATIONS!$V$2:$V$22,0)),"")</f>
        <v>Esme Beston</v>
      </c>
      <c r="D25" s="25">
        <f>ROUND(LARGE(CALCULATIONS!$V$2:$V$22,ROW()-7),0)</f>
        <v>0</v>
      </c>
    </row>
    <row r="26" spans="2:4" ht="30" customHeight="1" x14ac:dyDescent="0.25">
      <c r="B26" s="24">
        <f t="array" ref="B26">SUMPRODUCT((D$8:D$28&gt;D26)/COUNTIF(D$8:D$28,D$8:D$28))+1</f>
        <v>10</v>
      </c>
      <c r="C26" s="10" t="str">
        <f>IFERROR(INDEX(CALCULATIONS!$K$2:$K$22,MATCH(LARGE(CALCULATIONS!$V$2:$V$22,ROW()-7),CALCULATIONS!$V$2:$V$22,0)),"")</f>
        <v>Emily Warburton</v>
      </c>
      <c r="D26" s="25">
        <f>ROUND(LARGE(CALCULATIONS!$V$2:$V$22,ROW()-7),0)</f>
        <v>0</v>
      </c>
    </row>
    <row r="27" spans="2:4" ht="30" customHeight="1" x14ac:dyDescent="0.25">
      <c r="B27" s="24">
        <f t="array" ref="B27">SUMPRODUCT((D$8:D$28&gt;D27)/COUNTIF(D$8:D$28,D$8:D$28))+1</f>
        <v>10</v>
      </c>
      <c r="C27" s="10" t="str">
        <f>IFERROR(INDEX(CALCULATIONS!$K$2:$K$22,MATCH(LARGE(CALCULATIONS!$V$2:$V$22,ROW()-7),CALCULATIONS!$V$2:$V$22,0)),"")</f>
        <v>Daniel Liu</v>
      </c>
      <c r="D27" s="25">
        <f>ROUND(LARGE(CALCULATIONS!$V$2:$V$22,ROW()-7),0)</f>
        <v>0</v>
      </c>
    </row>
    <row r="28" spans="2:4" ht="30" customHeight="1" x14ac:dyDescent="0.25">
      <c r="B28" s="24">
        <f t="array" ref="B28">SUMPRODUCT((D$8:D$28&gt;D28)/COUNTIF(D$8:D$28,D$8:D$28))+1</f>
        <v>10</v>
      </c>
      <c r="C28" s="10" t="str">
        <f>IFERROR(INDEX(CALCULATIONS!$K$2:$K$22,MATCH(LARGE(CALCULATIONS!$V$2:$V$22,ROW()-7),CALCULATIONS!$V$2:$V$22,0)),"")</f>
        <v>Alyza Rai</v>
      </c>
      <c r="D28" s="25">
        <f>ROUND(LARGE(CALCULATIONS!$V$2:$V$22,ROW()-7),0)</f>
        <v>0</v>
      </c>
    </row>
  </sheetData>
  <sheetProtection algorithmName="SHA-512" hashValue="9Whk0JbxxIgj3CDTIeBtwOiFQNu5WF69gGF4jr/iadTYIpqLqwC89/DvTXOSAlQsA2JXLE0ZLr1pJ2hi+Kidng==" saltValue="tra+8xj19vNHAlk9Q2Jh3w==" spinCount="100000" sheet="1" formatCells="0" formatColumns="0" formatRows="0"/>
  <mergeCells count="3">
    <mergeCell ref="B1:D1"/>
    <mergeCell ref="B5:D5"/>
    <mergeCell ref="B2:D2"/>
  </mergeCells>
  <conditionalFormatting sqref="B8:B28">
    <cfRule type="expression" dxfId="65" priority="1">
      <formula>$B8=1</formula>
    </cfRule>
    <cfRule type="expression" dxfId="64" priority="2">
      <formula>$B8=2</formula>
    </cfRule>
    <cfRule type="expression" dxfId="63" priority="3">
      <formula>$B8=3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A580C"/>
  </sheetPr>
  <dimension ref="B1:W69"/>
  <sheetViews>
    <sheetView showGridLines="0" tabSelected="1" topLeftCell="A34" zoomScale="90" workbookViewId="0">
      <selection activeCell="H14" sqref="H14"/>
    </sheetView>
  </sheetViews>
  <sheetFormatPr defaultRowHeight="15" x14ac:dyDescent="0.25"/>
  <cols>
    <col min="1" max="1" width="4" customWidth="1"/>
    <col min="2" max="2" width="34" customWidth="1"/>
    <col min="3" max="3" width="16" customWidth="1"/>
    <col min="4" max="4" width="65.85546875" customWidth="1"/>
    <col min="5" max="7" width="14" customWidth="1"/>
    <col min="8" max="8" width="24" customWidth="1"/>
  </cols>
  <sheetData>
    <row r="1" spans="2:5" ht="51.95" customHeight="1" x14ac:dyDescent="0.25">
      <c r="B1" s="57" t="s">
        <v>116</v>
      </c>
      <c r="C1" s="58"/>
      <c r="D1" s="58"/>
      <c r="E1" s="58"/>
    </row>
    <row r="2" spans="2:5" ht="26.1" customHeight="1" x14ac:dyDescent="0.25">
      <c r="B2" s="79" t="s">
        <v>117</v>
      </c>
      <c r="C2" s="58"/>
      <c r="D2" s="58"/>
      <c r="E2" s="58"/>
    </row>
    <row r="3" spans="2:5" ht="32.1" customHeight="1" x14ac:dyDescent="0.25">
      <c r="B3" s="76" t="s">
        <v>118</v>
      </c>
      <c r="C3" s="58"/>
      <c r="D3" s="58"/>
      <c r="E3" s="58"/>
    </row>
    <row r="4" spans="2:5" ht="32.1" customHeight="1" x14ac:dyDescent="0.25">
      <c r="B4" s="7" t="s">
        <v>119</v>
      </c>
      <c r="C4" s="7" t="s">
        <v>120</v>
      </c>
      <c r="D4" s="7" t="s">
        <v>121</v>
      </c>
      <c r="E4" s="7"/>
    </row>
    <row r="5" spans="2:5" ht="26.1" customHeight="1" x14ac:dyDescent="0.25">
      <c r="B5" s="5" t="s">
        <v>122</v>
      </c>
      <c r="C5" s="18">
        <v>5</v>
      </c>
      <c r="D5" s="27" t="s">
        <v>123</v>
      </c>
    </row>
    <row r="6" spans="2:5" ht="26.1" customHeight="1" x14ac:dyDescent="0.25">
      <c r="B6" s="5" t="s">
        <v>124</v>
      </c>
      <c r="C6" s="18">
        <v>10</v>
      </c>
      <c r="D6" s="27" t="s">
        <v>125</v>
      </c>
    </row>
    <row r="7" spans="2:5" ht="26.1" customHeight="1" x14ac:dyDescent="0.25">
      <c r="B7" s="5" t="s">
        <v>126</v>
      </c>
      <c r="C7" s="18">
        <v>0</v>
      </c>
      <c r="D7" s="27" t="s">
        <v>127</v>
      </c>
    </row>
    <row r="8" spans="2:5" ht="26.1" customHeight="1" x14ac:dyDescent="0.25">
      <c r="B8" s="5" t="s">
        <v>128</v>
      </c>
      <c r="C8" s="18">
        <v>10</v>
      </c>
      <c r="D8" s="27" t="s">
        <v>129</v>
      </c>
    </row>
    <row r="9" spans="2:5" ht="26.1" customHeight="1" x14ac:dyDescent="0.25">
      <c r="B9" s="5" t="s">
        <v>130</v>
      </c>
      <c r="C9" s="18">
        <v>0.5</v>
      </c>
      <c r="D9" s="27" t="s">
        <v>131</v>
      </c>
    </row>
    <row r="10" spans="2:5" ht="26.1" customHeight="1" x14ac:dyDescent="0.25">
      <c r="B10" s="5" t="s">
        <v>132</v>
      </c>
      <c r="C10" s="18">
        <v>1</v>
      </c>
      <c r="D10" s="27" t="s">
        <v>133</v>
      </c>
    </row>
    <row r="11" spans="2:5" ht="26.1" customHeight="1" x14ac:dyDescent="0.25">
      <c r="B11" s="5" t="s">
        <v>134</v>
      </c>
      <c r="C11" s="18">
        <v>0.75</v>
      </c>
      <c r="D11" s="27" t="s">
        <v>135</v>
      </c>
    </row>
    <row r="12" spans="2:5" ht="26.1" customHeight="1" x14ac:dyDescent="0.25">
      <c r="B12" s="5" t="s">
        <v>136</v>
      </c>
      <c r="C12" s="18">
        <v>0.5</v>
      </c>
      <c r="D12" s="27" t="s">
        <v>137</v>
      </c>
    </row>
    <row r="13" spans="2:5" ht="26.1" customHeight="1" x14ac:dyDescent="0.25">
      <c r="B13" s="5" t="s">
        <v>138</v>
      </c>
      <c r="C13" s="18">
        <v>0.1</v>
      </c>
      <c r="D13" s="27" t="s">
        <v>139</v>
      </c>
    </row>
    <row r="14" spans="2:5" ht="26.1" customHeight="1" x14ac:dyDescent="0.25">
      <c r="B14" s="5" t="s">
        <v>140</v>
      </c>
      <c r="C14" s="18">
        <v>7</v>
      </c>
      <c r="D14" s="27" t="s">
        <v>141</v>
      </c>
    </row>
    <row r="15" spans="2:5" ht="26.1" customHeight="1" x14ac:dyDescent="0.25">
      <c r="B15" s="5" t="s">
        <v>142</v>
      </c>
      <c r="C15" s="18">
        <v>13</v>
      </c>
      <c r="D15" s="27" t="s">
        <v>143</v>
      </c>
    </row>
    <row r="16" spans="2:5" ht="26.1" customHeight="1" x14ac:dyDescent="0.25">
      <c r="B16" s="5" t="s">
        <v>144</v>
      </c>
      <c r="C16" s="18">
        <v>3</v>
      </c>
      <c r="D16" s="27" t="s">
        <v>145</v>
      </c>
    </row>
    <row r="17" spans="2:8" ht="26.1" customHeight="1" x14ac:dyDescent="0.25">
      <c r="B17" s="5" t="s">
        <v>146</v>
      </c>
      <c r="C17" s="18">
        <v>2</v>
      </c>
      <c r="D17" s="27" t="s">
        <v>147</v>
      </c>
    </row>
    <row r="18" spans="2:8" ht="26.1" customHeight="1" x14ac:dyDescent="0.25">
      <c r="B18" s="43" t="s">
        <v>148</v>
      </c>
      <c r="C18" s="44">
        <v>2</v>
      </c>
      <c r="D18" s="45" t="s">
        <v>149</v>
      </c>
    </row>
    <row r="19" spans="2:8" s="87" customFormat="1" ht="26.1" customHeight="1" x14ac:dyDescent="0.25">
      <c r="B19" s="84"/>
      <c r="C19" s="85"/>
      <c r="D19" s="86"/>
    </row>
    <row r="21" spans="2:8" ht="32.1" customHeight="1" x14ac:dyDescent="0.25">
      <c r="B21" s="76" t="s">
        <v>150</v>
      </c>
      <c r="C21" s="58"/>
      <c r="D21" s="58"/>
      <c r="E21" s="58"/>
      <c r="F21" s="58"/>
    </row>
    <row r="22" spans="2:8" ht="32.1" customHeight="1" x14ac:dyDescent="0.25">
      <c r="B22" s="7" t="s">
        <v>7</v>
      </c>
      <c r="C22" s="7" t="s">
        <v>151</v>
      </c>
      <c r="D22" s="7" t="s">
        <v>152</v>
      </c>
      <c r="E22" s="7" t="s">
        <v>153</v>
      </c>
      <c r="F22" s="7" t="s">
        <v>154</v>
      </c>
      <c r="H22" s="46" t="s">
        <v>155</v>
      </c>
    </row>
    <row r="23" spans="2:8" ht="26.1" customHeight="1" x14ac:dyDescent="0.25">
      <c r="B23" s="10" t="s">
        <v>12</v>
      </c>
      <c r="C23" s="28">
        <v>13</v>
      </c>
      <c r="D23" s="29">
        <f t="shared" ref="D23:D43" si="0">SUM(J23:Z23)</f>
        <v>0</v>
      </c>
      <c r="E23" s="30"/>
      <c r="F23" s="31">
        <f>IF(E23&lt;&gt;"",E23,MIN(SETTINGS!$C$15,MAX(SETTINGS!$C$14,C23+D23)))</f>
        <v>13</v>
      </c>
      <c r="H23" s="47" t="str">
        <f t="shared" ref="H23:H43" si="1">IF(B23="","",B23)</f>
        <v>Lia Li</v>
      </c>
    </row>
    <row r="24" spans="2:8" ht="26.1" customHeight="1" x14ac:dyDescent="0.25">
      <c r="B24" s="4" t="s">
        <v>95</v>
      </c>
      <c r="C24" s="32">
        <v>13</v>
      </c>
      <c r="D24" s="33">
        <f t="shared" si="0"/>
        <v>0</v>
      </c>
      <c r="E24" s="30"/>
      <c r="F24" s="31">
        <f>IF(E24&lt;&gt;"",E24,MIN(SETTINGS!$C$15,MAX(SETTINGS!$C$14,C24+D24)))</f>
        <v>13</v>
      </c>
      <c r="H24" s="47" t="str">
        <f t="shared" si="1"/>
        <v>Sophie Barker</v>
      </c>
    </row>
    <row r="25" spans="2:8" ht="26.1" customHeight="1" x14ac:dyDescent="0.25">
      <c r="B25" s="10" t="s">
        <v>3</v>
      </c>
      <c r="C25" s="28">
        <v>11</v>
      </c>
      <c r="D25" s="29">
        <f t="shared" si="0"/>
        <v>0</v>
      </c>
      <c r="E25" s="30"/>
      <c r="F25" s="31">
        <f>IF(E25&lt;&gt;"",E25,MIN(SETTINGS!$C$15,MAX(SETTINGS!$C$14,C25+D25)))</f>
        <v>11</v>
      </c>
      <c r="H25" s="47" t="str">
        <f t="shared" si="1"/>
        <v>Chinedu Chile</v>
      </c>
    </row>
    <row r="26" spans="2:8" ht="26.1" customHeight="1" x14ac:dyDescent="0.25">
      <c r="B26" s="4" t="s">
        <v>88</v>
      </c>
      <c r="C26" s="32">
        <v>11</v>
      </c>
      <c r="D26" s="33">
        <f t="shared" si="0"/>
        <v>0</v>
      </c>
      <c r="E26" s="30"/>
      <c r="F26" s="31">
        <f>IF(E26&lt;&gt;"",E26,MIN(SETTINGS!$C$15,MAX(SETTINGS!$C$14,C26+D26)))</f>
        <v>11</v>
      </c>
      <c r="H26" s="47" t="str">
        <f t="shared" si="1"/>
        <v>Emily Warburton</v>
      </c>
    </row>
    <row r="27" spans="2:8" ht="26.1" customHeight="1" x14ac:dyDescent="0.25">
      <c r="B27" s="10" t="s">
        <v>82</v>
      </c>
      <c r="C27" s="28">
        <v>10.5</v>
      </c>
      <c r="D27" s="29">
        <f t="shared" si="0"/>
        <v>0</v>
      </c>
      <c r="E27" s="30"/>
      <c r="F27" s="31">
        <f>IF(E27&lt;&gt;"",E27,MIN(SETTINGS!$C$15,MAX(SETTINGS!$C$14,C27+D27)))</f>
        <v>10.5</v>
      </c>
      <c r="H27" s="47" t="str">
        <f t="shared" si="1"/>
        <v>Alyza Rai</v>
      </c>
    </row>
    <row r="28" spans="2:8" ht="26.1" customHeight="1" x14ac:dyDescent="0.25">
      <c r="B28" s="4" t="s">
        <v>86</v>
      </c>
      <c r="C28" s="32">
        <v>10.5</v>
      </c>
      <c r="D28" s="33">
        <f t="shared" si="0"/>
        <v>0</v>
      </c>
      <c r="E28" s="30"/>
      <c r="F28" s="31">
        <f>IF(E28&lt;&gt;"",E28,MIN(SETTINGS!$C$15,MAX(SETTINGS!$C$14,C28+D28)))</f>
        <v>10.5</v>
      </c>
      <c r="H28" s="47" t="str">
        <f t="shared" si="1"/>
        <v>David Wu</v>
      </c>
    </row>
    <row r="29" spans="2:8" ht="26.1" customHeight="1" x14ac:dyDescent="0.25">
      <c r="B29" s="10" t="s">
        <v>10</v>
      </c>
      <c r="C29" s="28">
        <v>10.5</v>
      </c>
      <c r="D29" s="29">
        <f t="shared" si="0"/>
        <v>0</v>
      </c>
      <c r="E29" s="30"/>
      <c r="F29" s="31">
        <f>IF(E29&lt;&gt;"",E29,MIN(SETTINGS!$C$15,MAX(SETTINGS!$C$14,C29+D29)))</f>
        <v>10.5</v>
      </c>
      <c r="H29" s="47" t="str">
        <f t="shared" si="1"/>
        <v>Joe Paige</v>
      </c>
    </row>
    <row r="30" spans="2:8" ht="26.1" customHeight="1" x14ac:dyDescent="0.25">
      <c r="B30" s="4" t="s">
        <v>84</v>
      </c>
      <c r="C30" s="32">
        <v>10</v>
      </c>
      <c r="D30" s="33">
        <f t="shared" si="0"/>
        <v>0</v>
      </c>
      <c r="E30" s="30"/>
      <c r="F30" s="31">
        <f>IF(E30&lt;&gt;"",E30,MIN(SETTINGS!$C$15,MAX(SETTINGS!$C$14,C30+D30)))</f>
        <v>10</v>
      </c>
      <c r="H30" s="47" t="str">
        <f t="shared" si="1"/>
        <v>Azlan Husain</v>
      </c>
    </row>
    <row r="31" spans="2:8" ht="26.1" customHeight="1" x14ac:dyDescent="0.25">
      <c r="B31" s="10" t="s">
        <v>92</v>
      </c>
      <c r="C31" s="28">
        <v>10</v>
      </c>
      <c r="D31" s="29">
        <f t="shared" si="0"/>
        <v>0</v>
      </c>
      <c r="E31" s="30"/>
      <c r="F31" s="31">
        <f>IF(E31&lt;&gt;"",E31,MIN(SETTINGS!$C$15,MAX(SETTINGS!$C$14,C31+D31)))</f>
        <v>10</v>
      </c>
      <c r="H31" s="47" t="str">
        <f t="shared" si="1"/>
        <v>Nina De Saram</v>
      </c>
    </row>
    <row r="32" spans="2:8" ht="26.1" customHeight="1" x14ac:dyDescent="0.25">
      <c r="B32" s="4" t="s">
        <v>81</v>
      </c>
      <c r="C32" s="32">
        <v>9.5</v>
      </c>
      <c r="D32" s="33">
        <f t="shared" si="0"/>
        <v>0</v>
      </c>
      <c r="E32" s="30"/>
      <c r="F32" s="31">
        <f>IF(E32&lt;&gt;"",E32,MIN(SETTINGS!$C$15,MAX(SETTINGS!$C$14,C32+D32)))</f>
        <v>9.5</v>
      </c>
      <c r="H32" s="47" t="str">
        <f t="shared" si="1"/>
        <v>Alexa Amesimeku</v>
      </c>
    </row>
    <row r="33" spans="2:23" ht="26.1" customHeight="1" x14ac:dyDescent="0.25">
      <c r="B33" s="10" t="s">
        <v>85</v>
      </c>
      <c r="C33" s="28">
        <v>9.5</v>
      </c>
      <c r="D33" s="29">
        <f t="shared" si="0"/>
        <v>0</v>
      </c>
      <c r="E33" s="30"/>
      <c r="F33" s="31">
        <f>IF(E33&lt;&gt;"",E33,MIN(SETTINGS!$C$15,MAX(SETTINGS!$C$14,C33+D33)))</f>
        <v>9.5</v>
      </c>
      <c r="H33" s="47" t="str">
        <f t="shared" si="1"/>
        <v>Daniel Liu</v>
      </c>
    </row>
    <row r="34" spans="2:23" ht="26.1" customHeight="1" x14ac:dyDescent="0.25">
      <c r="B34" s="4" t="s">
        <v>93</v>
      </c>
      <c r="C34" s="32">
        <v>9.5</v>
      </c>
      <c r="D34" s="33">
        <f t="shared" si="0"/>
        <v>0</v>
      </c>
      <c r="E34" s="30"/>
      <c r="F34" s="31">
        <f>IF(E34&lt;&gt;"",E34,MIN(SETTINGS!$C$15,MAX(SETTINGS!$C$14,C34+D34)))</f>
        <v>9.5</v>
      </c>
      <c r="H34" s="47" t="str">
        <f t="shared" si="1"/>
        <v>Rebecca Seymour</v>
      </c>
    </row>
    <row r="35" spans="2:23" ht="26.1" customHeight="1" x14ac:dyDescent="0.25">
      <c r="B35" s="10" t="s">
        <v>87</v>
      </c>
      <c r="C35" s="28">
        <v>9</v>
      </c>
      <c r="D35" s="29">
        <f t="shared" si="0"/>
        <v>0</v>
      </c>
      <c r="E35" s="30"/>
      <c r="F35" s="31">
        <f>IF(E35&lt;&gt;"",E35,MIN(SETTINGS!$C$15,MAX(SETTINGS!$C$14,C35+D35)))</f>
        <v>9</v>
      </c>
      <c r="H35" s="47" t="str">
        <f t="shared" si="1"/>
        <v>Edwin Mayers</v>
      </c>
    </row>
    <row r="36" spans="2:23" ht="26.1" customHeight="1" x14ac:dyDescent="0.25">
      <c r="B36" s="4" t="s">
        <v>91</v>
      </c>
      <c r="C36" s="32">
        <v>8.5</v>
      </c>
      <c r="D36" s="33">
        <f t="shared" si="0"/>
        <v>0</v>
      </c>
      <c r="E36" s="30"/>
      <c r="F36" s="31">
        <f>IF(E36&lt;&gt;"",E36,MIN(SETTINGS!$C$15,MAX(SETTINGS!$C$14,C36+D36)))</f>
        <v>8.5</v>
      </c>
      <c r="H36" s="47" t="str">
        <f t="shared" si="1"/>
        <v>Melody Zhaeentan</v>
      </c>
    </row>
    <row r="37" spans="2:23" ht="26.1" customHeight="1" x14ac:dyDescent="0.25">
      <c r="B37" s="10" t="s">
        <v>89</v>
      </c>
      <c r="C37" s="28">
        <v>8</v>
      </c>
      <c r="D37" s="29">
        <f t="shared" si="0"/>
        <v>0</v>
      </c>
      <c r="E37" s="30"/>
      <c r="F37" s="31">
        <f>IF(E37&lt;&gt;"",E37,MIN(SETTINGS!$C$15,MAX(SETTINGS!$C$14,C37+D37)))</f>
        <v>8</v>
      </c>
      <c r="H37" s="47" t="str">
        <f t="shared" si="1"/>
        <v>Esme Beston</v>
      </c>
    </row>
    <row r="38" spans="2:23" ht="26.1" customHeight="1" x14ac:dyDescent="0.25">
      <c r="B38" s="4" t="s">
        <v>90</v>
      </c>
      <c r="C38" s="32">
        <v>8</v>
      </c>
      <c r="D38" s="33">
        <f t="shared" si="0"/>
        <v>0</v>
      </c>
      <c r="E38" s="30"/>
      <c r="F38" s="31">
        <f>IF(E38&lt;&gt;"",E38,MIN(SETTINGS!$C$15,MAX(SETTINGS!$C$14,C38+D38)))</f>
        <v>8</v>
      </c>
      <c r="H38" s="47" t="str">
        <f t="shared" si="1"/>
        <v>Iona Smith</v>
      </c>
    </row>
    <row r="39" spans="2:23" ht="26.1" customHeight="1" x14ac:dyDescent="0.25">
      <c r="B39" s="10" t="s">
        <v>13</v>
      </c>
      <c r="C39" s="28">
        <v>8</v>
      </c>
      <c r="D39" s="29">
        <f t="shared" si="0"/>
        <v>0</v>
      </c>
      <c r="E39" s="30"/>
      <c r="F39" s="31">
        <f>IF(E39&lt;&gt;"",E39,MIN(SETTINGS!$C$15,MAX(SETTINGS!$C$14,C39+D39)))</f>
        <v>8</v>
      </c>
      <c r="H39" s="47" t="str">
        <f t="shared" si="1"/>
        <v>Oscar Day-Duran</v>
      </c>
    </row>
    <row r="40" spans="2:23" ht="26.1" customHeight="1" x14ac:dyDescent="0.25">
      <c r="B40" s="4" t="s">
        <v>11</v>
      </c>
      <c r="C40" s="32">
        <v>7.5</v>
      </c>
      <c r="D40" s="33">
        <f t="shared" si="0"/>
        <v>0</v>
      </c>
      <c r="E40" s="30"/>
      <c r="F40" s="31">
        <f>IF(E40&lt;&gt;"",E40,MIN(SETTINGS!$C$15,MAX(SETTINGS!$C$14,C40+D40)))</f>
        <v>7.5</v>
      </c>
      <c r="H40" s="47" t="str">
        <f t="shared" si="1"/>
        <v>Alfie Foley</v>
      </c>
    </row>
    <row r="41" spans="2:23" ht="26.1" customHeight="1" x14ac:dyDescent="0.25">
      <c r="B41" s="10" t="s">
        <v>83</v>
      </c>
      <c r="C41" s="28">
        <v>7</v>
      </c>
      <c r="D41" s="29">
        <f t="shared" si="0"/>
        <v>0</v>
      </c>
      <c r="E41" s="30"/>
      <c r="F41" s="31">
        <f>IF(E41&lt;&gt;"",E41,MIN(SETTINGS!$C$15,MAX(SETTINGS!$C$14,C41+D41)))</f>
        <v>7</v>
      </c>
      <c r="H41" s="47" t="str">
        <f t="shared" si="1"/>
        <v>Ava Swinfen</v>
      </c>
    </row>
    <row r="42" spans="2:23" ht="26.1" customHeight="1" x14ac:dyDescent="0.25">
      <c r="B42" s="4" t="s">
        <v>94</v>
      </c>
      <c r="C42" s="32">
        <v>7</v>
      </c>
      <c r="D42" s="33">
        <f t="shared" si="0"/>
        <v>0</v>
      </c>
      <c r="E42" s="30"/>
      <c r="F42" s="31">
        <f>IF(E42&lt;&gt;"",E42,MIN(SETTINGS!$C$15,MAX(SETTINGS!$C$14,C42+D42)))</f>
        <v>7</v>
      </c>
      <c r="H42" s="47" t="str">
        <f t="shared" si="1"/>
        <v>Rory Bowman</v>
      </c>
    </row>
    <row r="43" spans="2:23" ht="26.1" customHeight="1" x14ac:dyDescent="0.25">
      <c r="B43" s="10" t="s">
        <v>96</v>
      </c>
      <c r="C43" s="28">
        <v>7</v>
      </c>
      <c r="D43" s="29">
        <f t="shared" si="0"/>
        <v>0</v>
      </c>
      <c r="E43" s="30"/>
      <c r="F43" s="31">
        <f>IF(E43&lt;&gt;"",E43,MIN(SETTINGS!$C$15,MAX(SETTINGS!$C$14,C43+D43)))</f>
        <v>7</v>
      </c>
      <c r="H43" s="47" t="str">
        <f t="shared" si="1"/>
        <v>Xander Meijer</v>
      </c>
    </row>
    <row r="44" spans="2:23" s="55" customFormat="1" ht="26.1" customHeight="1" x14ac:dyDescent="0.25">
      <c r="B44" s="50"/>
      <c r="C44" s="51"/>
      <c r="D44" s="52"/>
      <c r="E44" s="53"/>
      <c r="F44" s="54"/>
      <c r="H44" s="56"/>
    </row>
    <row r="45" spans="2:23" s="55" customFormat="1" ht="24.75" customHeight="1" x14ac:dyDescent="0.25">
      <c r="B45" s="50"/>
      <c r="C45" s="51"/>
      <c r="D45" s="52"/>
      <c r="E45" s="53"/>
      <c r="F45" s="54"/>
      <c r="H45" s="56"/>
    </row>
    <row r="46" spans="2:23" ht="28.5" customHeight="1" x14ac:dyDescent="0.25"/>
    <row r="47" spans="2:23" ht="32.1" customHeight="1" x14ac:dyDescent="0.25">
      <c r="B47" s="76" t="s">
        <v>156</v>
      </c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</row>
    <row r="48" spans="2:23" ht="32.1" customHeight="1" x14ac:dyDescent="0.25">
      <c r="B48" s="7" t="s">
        <v>7</v>
      </c>
      <c r="C48" s="7" t="s">
        <v>157</v>
      </c>
      <c r="D48" s="7" t="s">
        <v>158</v>
      </c>
      <c r="E48" s="7" t="s">
        <v>159</v>
      </c>
      <c r="F48" s="7" t="s">
        <v>160</v>
      </c>
      <c r="G48" s="7" t="s">
        <v>161</v>
      </c>
      <c r="H48" s="7" t="s">
        <v>162</v>
      </c>
      <c r="I48" s="7" t="s">
        <v>163</v>
      </c>
      <c r="J48" s="7" t="s">
        <v>164</v>
      </c>
      <c r="K48" s="7" t="s">
        <v>165</v>
      </c>
      <c r="L48" s="7" t="s">
        <v>166</v>
      </c>
      <c r="M48" s="7" t="s">
        <v>167</v>
      </c>
      <c r="N48" s="7" t="s">
        <v>168</v>
      </c>
      <c r="O48" s="7" t="s">
        <v>169</v>
      </c>
      <c r="P48" s="7" t="s">
        <v>170</v>
      </c>
      <c r="Q48" s="7" t="s">
        <v>171</v>
      </c>
      <c r="R48" s="7" t="s">
        <v>172</v>
      </c>
      <c r="S48" s="7" t="s">
        <v>173</v>
      </c>
      <c r="T48" s="7" t="s">
        <v>174</v>
      </c>
      <c r="U48" s="7" t="s">
        <v>175</v>
      </c>
      <c r="V48" s="7" t="s">
        <v>176</v>
      </c>
    </row>
    <row r="49" spans="2:22" ht="24" customHeight="1" x14ac:dyDescent="0.25">
      <c r="B49" s="10" t="s">
        <v>12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spans="2:22" ht="24" customHeight="1" x14ac:dyDescent="0.25">
      <c r="B50" s="4" t="s">
        <v>95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2:22" ht="24" customHeight="1" x14ac:dyDescent="0.25">
      <c r="B51" s="10" t="s">
        <v>3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 spans="2:22" ht="24" customHeight="1" x14ac:dyDescent="0.25">
      <c r="B52" s="4" t="s">
        <v>88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spans="2:22" ht="24" customHeight="1" x14ac:dyDescent="0.25">
      <c r="B53" s="10" t="s">
        <v>82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spans="2:22" ht="24" customHeight="1" x14ac:dyDescent="0.25">
      <c r="B54" s="4" t="s">
        <v>86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spans="2:22" ht="24" customHeight="1" x14ac:dyDescent="0.25">
      <c r="B55" s="10" t="s">
        <v>10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spans="2:22" ht="24" customHeight="1" x14ac:dyDescent="0.25">
      <c r="B56" s="4" t="s">
        <v>84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spans="2:22" ht="24" customHeight="1" x14ac:dyDescent="0.25">
      <c r="B57" s="10" t="s">
        <v>92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spans="2:22" ht="24" customHeight="1" x14ac:dyDescent="0.25">
      <c r="B58" s="4" t="s">
        <v>81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spans="2:22" ht="24" customHeight="1" x14ac:dyDescent="0.25">
      <c r="B59" s="10" t="s">
        <v>85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 spans="2:22" ht="24" customHeight="1" x14ac:dyDescent="0.25">
      <c r="B60" s="4" t="s">
        <v>93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 spans="2:22" ht="24" customHeight="1" x14ac:dyDescent="0.25">
      <c r="B61" s="10" t="s">
        <v>87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spans="2:22" ht="24" customHeight="1" x14ac:dyDescent="0.25">
      <c r="B62" s="4" t="s">
        <v>91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 spans="2:22" ht="24" customHeight="1" x14ac:dyDescent="0.25">
      <c r="B63" s="10" t="s">
        <v>89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 spans="2:22" ht="24" customHeight="1" x14ac:dyDescent="0.25">
      <c r="B64" s="4" t="s">
        <v>90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spans="2:22" ht="24" customHeight="1" x14ac:dyDescent="0.25">
      <c r="B65" s="10" t="s">
        <v>13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 spans="2:22" ht="24" customHeight="1" x14ac:dyDescent="0.25">
      <c r="B66" s="4" t="s">
        <v>11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spans="2:22" ht="24" customHeight="1" x14ac:dyDescent="0.25">
      <c r="B67" s="10" t="s">
        <v>83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spans="2:22" ht="24" customHeight="1" x14ac:dyDescent="0.25">
      <c r="B68" s="4" t="s">
        <v>94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 spans="2:22" ht="24" customHeight="1" x14ac:dyDescent="0.25">
      <c r="B69" s="10" t="s">
        <v>96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</sheetData>
  <sheetProtection formatCells="0" formatColumns="0" formatRows="0"/>
  <mergeCells count="5">
    <mergeCell ref="B1:E1"/>
    <mergeCell ref="B21:F21"/>
    <mergeCell ref="B3:E3"/>
    <mergeCell ref="B2:E2"/>
    <mergeCell ref="B47:W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4A3B8"/>
  </sheetPr>
  <dimension ref="B1:V22"/>
  <sheetViews>
    <sheetView zoomScale="90" workbookViewId="0"/>
  </sheetViews>
  <sheetFormatPr defaultRowHeight="15" x14ac:dyDescent="0.25"/>
  <sheetData>
    <row r="1" spans="2:22" ht="32.1" customHeight="1" x14ac:dyDescent="0.25">
      <c r="B1" s="7" t="s">
        <v>80</v>
      </c>
      <c r="C1" s="7" t="s">
        <v>157</v>
      </c>
      <c r="D1" s="7" t="s">
        <v>158</v>
      </c>
      <c r="E1" s="7" t="s">
        <v>159</v>
      </c>
      <c r="F1" s="7" t="s">
        <v>160</v>
      </c>
      <c r="G1" s="7" t="s">
        <v>161</v>
      </c>
      <c r="H1" s="7" t="s">
        <v>162</v>
      </c>
      <c r="I1" s="7" t="s">
        <v>163</v>
      </c>
      <c r="J1" s="7" t="s">
        <v>164</v>
      </c>
      <c r="K1" s="7" t="s">
        <v>165</v>
      </c>
      <c r="L1" s="7" t="s">
        <v>166</v>
      </c>
      <c r="M1" s="7" t="s">
        <v>167</v>
      </c>
      <c r="N1" s="7" t="s">
        <v>168</v>
      </c>
      <c r="O1" s="7" t="s">
        <v>169</v>
      </c>
      <c r="P1" s="7" t="s">
        <v>170</v>
      </c>
      <c r="Q1" s="7" t="s">
        <v>171</v>
      </c>
      <c r="R1" s="7" t="s">
        <v>172</v>
      </c>
      <c r="S1" s="7" t="s">
        <v>173</v>
      </c>
      <c r="T1" s="7" t="s">
        <v>174</v>
      </c>
      <c r="U1" s="7" t="s">
        <v>175</v>
      </c>
      <c r="V1" s="7" t="s">
        <v>176</v>
      </c>
    </row>
    <row r="2" spans="2:22" ht="26.1" customHeight="1" x14ac:dyDescent="0.25">
      <c r="B2" s="36" t="s">
        <v>81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2:22" ht="26.1" customHeight="1" x14ac:dyDescent="0.25">
      <c r="B3" s="36" t="s">
        <v>11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2:22" ht="26.1" customHeight="1" x14ac:dyDescent="0.25">
      <c r="B4" s="36" t="s">
        <v>82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2:22" ht="26.1" customHeight="1" x14ac:dyDescent="0.25">
      <c r="B5" s="36" t="s">
        <v>83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2:22" ht="26.1" customHeight="1" x14ac:dyDescent="0.25">
      <c r="B6" s="36" t="s">
        <v>84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</row>
    <row r="7" spans="2:22" ht="26.1" customHeight="1" x14ac:dyDescent="0.25">
      <c r="B7" s="36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2:22" ht="26.1" customHeight="1" x14ac:dyDescent="0.25">
      <c r="B8" s="36" t="s">
        <v>85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</row>
    <row r="9" spans="2:22" ht="26.1" customHeight="1" x14ac:dyDescent="0.25">
      <c r="B9" s="36" t="s">
        <v>86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2:22" ht="26.1" customHeight="1" x14ac:dyDescent="0.25">
      <c r="B10" s="36" t="s">
        <v>87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</row>
    <row r="11" spans="2:22" ht="26.1" customHeight="1" x14ac:dyDescent="0.25">
      <c r="B11" s="36" t="s">
        <v>88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2:22" ht="26.1" customHeight="1" x14ac:dyDescent="0.25">
      <c r="B12" s="36" t="s">
        <v>89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</row>
    <row r="13" spans="2:22" ht="26.1" customHeight="1" x14ac:dyDescent="0.25">
      <c r="B13" s="36" t="s">
        <v>90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2:22" ht="26.1" customHeight="1" x14ac:dyDescent="0.25">
      <c r="B14" s="36" t="s">
        <v>10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5" spans="2:22" ht="26.1" customHeight="1" x14ac:dyDescent="0.25">
      <c r="B15" s="36" t="s">
        <v>12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2:22" ht="26.1" customHeight="1" x14ac:dyDescent="0.25">
      <c r="B16" s="36" t="s">
        <v>91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</row>
    <row r="17" spans="2:22" ht="26.1" customHeight="1" x14ac:dyDescent="0.25">
      <c r="B17" s="36" t="s">
        <v>92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2:22" ht="26.1" customHeight="1" x14ac:dyDescent="0.25">
      <c r="B18" s="36" t="s">
        <v>13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</row>
    <row r="19" spans="2:22" ht="26.1" customHeight="1" x14ac:dyDescent="0.25">
      <c r="B19" s="36" t="s">
        <v>93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2:22" ht="26.1" customHeight="1" x14ac:dyDescent="0.25">
      <c r="B20" s="36" t="s">
        <v>94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  <row r="21" spans="2:22" ht="26.1" customHeight="1" x14ac:dyDescent="0.25">
      <c r="B21" s="36" t="s">
        <v>95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2:22" ht="26.1" customHeight="1" x14ac:dyDescent="0.25">
      <c r="B22" s="36" t="s">
        <v>96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</row>
  </sheetData>
  <sheetProtection password="90E3" sheet="1" formatCells="0" formatColumns="0" formatRows="0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4748B"/>
  </sheetPr>
  <dimension ref="A1:V22"/>
  <sheetViews>
    <sheetView topLeftCell="G1" zoomScale="90" workbookViewId="0">
      <selection activeCell="V28" sqref="V28"/>
    </sheetView>
  </sheetViews>
  <sheetFormatPr defaultRowHeight="15" x14ac:dyDescent="0.25"/>
  <cols>
    <col min="21" max="21" width="26.7109375" customWidth="1"/>
    <col min="22" max="22" width="22.42578125" customWidth="1"/>
  </cols>
  <sheetData>
    <row r="1" spans="1:22" x14ac:dyDescent="0.25">
      <c r="A1" t="s">
        <v>7</v>
      </c>
      <c r="B1" t="s">
        <v>151</v>
      </c>
      <c r="C1" t="s">
        <v>177</v>
      </c>
      <c r="D1" t="s">
        <v>178</v>
      </c>
      <c r="K1" t="s">
        <v>80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15</v>
      </c>
      <c r="S1" t="s">
        <v>16</v>
      </c>
      <c r="T1" t="s">
        <v>17</v>
      </c>
      <c r="U1" t="s">
        <v>185</v>
      </c>
      <c r="V1" t="s">
        <v>186</v>
      </c>
    </row>
    <row r="2" spans="1:22" x14ac:dyDescent="0.25">
      <c r="A2" t="s">
        <v>12</v>
      </c>
      <c r="B2">
        <v>13</v>
      </c>
      <c r="C2">
        <f>SETTINGS!F23</f>
        <v>13</v>
      </c>
      <c r="D2">
        <f>IFERROR(IF(INDEX('TEST RESULTS'!$H$6:$H$26,MATCH(A2,'TEST RESULTS'!$B$6:$B$26,0))="",0,MAX(SETTINGS!$C$7,MIN(SETTINGS!$C$8,SETTINGS!$C$5+ROUNDDOWN((INDEX('TEST RESULTS'!$H$6:$H$26,MATCH(A2,'TEST RESULTS'!$B$6:$B$26,0))-AVERAGE('TEST RESULTS'!$H$6:$H$26))/MAX((MAX('TEST RESULTS'!$H$6:$H$26)-MIN('TEST RESULTS'!$H$6:$H$26))/SETTINGS!$C$6,0.1),0)))),0)</f>
        <v>6</v>
      </c>
      <c r="K2" t="s">
        <v>81</v>
      </c>
      <c r="L2" t="str">
        <f>'Alexa Amesimeku'!C10</f>
        <v>Sophie Barker</v>
      </c>
      <c r="M2" t="str">
        <f>'Alexa Amesimeku'!C11</f>
        <v>Joe Paige</v>
      </c>
      <c r="N2" t="str">
        <f>'Alexa Amesimeku'!C12</f>
        <v>Alexa Amesimeku</v>
      </c>
      <c r="O2" t="str">
        <f>'Alexa Amesimeku'!C13</f>
        <v>Nina De Saram</v>
      </c>
      <c r="P2" t="str">
        <f>'Alexa Amesimeku'!C14</f>
        <v>Xander Meijer</v>
      </c>
      <c r="Q2" t="str">
        <f>'Alexa Amesimeku'!C5</f>
        <v>Sophie Barker</v>
      </c>
      <c r="R2">
        <f>'Alexa Amesimeku'!C17</f>
        <v>50</v>
      </c>
      <c r="S2">
        <f>'Alexa Amesimeku'!C18</f>
        <v>0</v>
      </c>
      <c r="T2">
        <f>IF($U2="VALID TEAM",SUMPRODUCT(SUMIF($A$2:$A$22,L2:P2,$D$2:$D$22))+SUMIF($A$2:$A$22,Q2,$D$2:$D$22)*(SETTINGS!$C$18-1),0)</f>
        <v>43</v>
      </c>
      <c r="U2" t="str">
        <f>'Alexa Amesimeku'!C20</f>
        <v>VALID TEAM</v>
      </c>
      <c r="V2">
        <f t="shared" ref="V2:V22" si="0">T2+ROW()/10000</f>
        <v>43.0002</v>
      </c>
    </row>
    <row r="3" spans="1:22" x14ac:dyDescent="0.25">
      <c r="A3" t="s">
        <v>95</v>
      </c>
      <c r="B3">
        <v>13</v>
      </c>
      <c r="C3">
        <f>SETTINGS!F24</f>
        <v>13</v>
      </c>
      <c r="D3">
        <f>IFERROR(IF(INDEX('TEST RESULTS'!$H$6:$H$26,MATCH(A3,'TEST RESULTS'!$B$6:$B$26,0))="",0,MAX(SETTINGS!$C$7,MIN(SETTINGS!$C$8,SETTINGS!$C$5+ROUNDDOWN((INDEX('TEST RESULTS'!$H$6:$H$26,MATCH(A3,'TEST RESULTS'!$B$6:$B$26,0))-AVERAGE('TEST RESULTS'!$H$6:$H$26))/MAX((MAX('TEST RESULTS'!$H$6:$H$26)-MIN('TEST RESULTS'!$H$6:$H$26))/SETTINGS!$C$6,0.1),0)))),0)</f>
        <v>9</v>
      </c>
      <c r="K3" t="s">
        <v>11</v>
      </c>
      <c r="L3" t="str">
        <f>'Alfie Foley'!C10</f>
        <v>Ava Swinfen</v>
      </c>
      <c r="M3" t="str">
        <f>'Alfie Foley'!C11</f>
        <v>David Wu</v>
      </c>
      <c r="N3" t="str">
        <f>'Alfie Foley'!C12</f>
        <v>Alyza Rai</v>
      </c>
      <c r="O3" t="str">
        <f>'Alfie Foley'!C13</f>
        <v>Sophie Barker</v>
      </c>
      <c r="P3" t="str">
        <f>'Alfie Foley'!C14</f>
        <v>Edwin Mayers</v>
      </c>
      <c r="Q3" t="str">
        <f>'Alfie Foley'!C5</f>
        <v>Sophie Barker</v>
      </c>
      <c r="R3">
        <f>'Alfie Foley'!C17</f>
        <v>50</v>
      </c>
      <c r="S3">
        <f>'Alfie Foley'!C18</f>
        <v>0</v>
      </c>
      <c r="T3">
        <f>IF($U3="VALID TEAM",SUMPRODUCT(SUMIF($A$2:$A$22,L3:P3,$D$2:$D$22))+SUMIF($A$2:$A$22,Q3,$D$2:$D$22)*(SETTINGS!$C$18-1),0)</f>
        <v>36</v>
      </c>
      <c r="U3" t="str">
        <f>'Alfie Foley'!C20</f>
        <v>VALID TEAM</v>
      </c>
      <c r="V3">
        <f t="shared" si="0"/>
        <v>36.000300000000003</v>
      </c>
    </row>
    <row r="4" spans="1:22" x14ac:dyDescent="0.25">
      <c r="A4" t="s">
        <v>3</v>
      </c>
      <c r="B4">
        <v>11</v>
      </c>
      <c r="C4">
        <f>SETTINGS!F25</f>
        <v>11</v>
      </c>
      <c r="D4">
        <f>IFERROR(IF(INDEX('TEST RESULTS'!$H$6:$H$26,MATCH(A4,'TEST RESULTS'!$B$6:$B$26,0))="",0,MAX(SETTINGS!$C$7,MIN(SETTINGS!$C$8,SETTINGS!$C$5+ROUNDDOWN((INDEX('TEST RESULTS'!$H$6:$H$26,MATCH(A4,'TEST RESULTS'!$B$6:$B$26,0))-AVERAGE('TEST RESULTS'!$H$6:$H$26))/MAX((MAX('TEST RESULTS'!$H$6:$H$26)-MIN('TEST RESULTS'!$H$6:$H$26))/SETTINGS!$C$6,0.1),0)))),0)</f>
        <v>5</v>
      </c>
      <c r="K4" t="s">
        <v>82</v>
      </c>
      <c r="L4">
        <f>'Alyza Rai'!C10</f>
        <v>0</v>
      </c>
      <c r="M4">
        <f>'Alyza Rai'!C11</f>
        <v>0</v>
      </c>
      <c r="N4">
        <f>'Alyza Rai'!C12</f>
        <v>0</v>
      </c>
      <c r="O4">
        <f>'Alyza Rai'!C13</f>
        <v>0</v>
      </c>
      <c r="P4">
        <f>'Alyza Rai'!C14</f>
        <v>0</v>
      </c>
      <c r="Q4">
        <f>'Alyza Rai'!C5</f>
        <v>0</v>
      </c>
      <c r="R4">
        <f>'Alyza Rai'!C17</f>
        <v>0</v>
      </c>
      <c r="S4">
        <f>'Alyza Rai'!C18</f>
        <v>50</v>
      </c>
      <c r="T4">
        <f>IF($U4="VALID TEAM",SUMPRODUCT(SUMIF($A$2:$A$22,L4:P4,$D$2:$D$22))+SUMIF($A$2:$A$22,Q4,$D$2:$D$22)*(SETTINGS!$C$18-1),0)</f>
        <v>0</v>
      </c>
      <c r="U4" t="str">
        <f>'Alyza Rai'!C20</f>
        <v>LESS THAN 5 PLAYERS</v>
      </c>
      <c r="V4">
        <f t="shared" si="0"/>
        <v>4.0000000000000002E-4</v>
      </c>
    </row>
    <row r="5" spans="1:22" x14ac:dyDescent="0.25">
      <c r="A5" t="s">
        <v>88</v>
      </c>
      <c r="B5">
        <v>11</v>
      </c>
      <c r="C5">
        <f>SETTINGS!F26</f>
        <v>11</v>
      </c>
      <c r="D5">
        <f>IFERROR(IF(INDEX('TEST RESULTS'!$H$6:$H$26,MATCH(A5,'TEST RESULTS'!$B$6:$B$26,0))="",0,MAX(SETTINGS!$C$7,MIN(SETTINGS!$C$8,SETTINGS!$C$5+ROUNDDOWN((INDEX('TEST RESULTS'!$H$6:$H$26,MATCH(A5,'TEST RESULTS'!$B$6:$B$26,0))-AVERAGE('TEST RESULTS'!$H$6:$H$26))/MAX((MAX('TEST RESULTS'!$H$6:$H$26)-MIN('TEST RESULTS'!$H$6:$H$26))/SETTINGS!$C$6,0.1),0)))),0)</f>
        <v>0</v>
      </c>
      <c r="K5" t="s">
        <v>83</v>
      </c>
      <c r="L5" t="str">
        <f>'Ava Swinfen'!C10</f>
        <v>Ava Swinfen</v>
      </c>
      <c r="M5" t="str">
        <f>'Ava Swinfen'!C11</f>
        <v>Melody Zhaeentan</v>
      </c>
      <c r="N5" t="str">
        <f>'Ava Swinfen'!C12</f>
        <v>Lia Li</v>
      </c>
      <c r="O5" t="str">
        <f>'Ava Swinfen'!C13</f>
        <v>Chinedu Chile</v>
      </c>
      <c r="P5" t="str">
        <f>'Ava Swinfen'!C14</f>
        <v>David Wu</v>
      </c>
      <c r="Q5" t="str">
        <f>'Ava Swinfen'!C5</f>
        <v>Lia Li</v>
      </c>
      <c r="R5">
        <f>'Ava Swinfen'!C17</f>
        <v>50</v>
      </c>
      <c r="S5">
        <f>'Ava Swinfen'!C18</f>
        <v>0</v>
      </c>
      <c r="T5">
        <f>IF($U5="VALID TEAM",SUMPRODUCT(SUMIF($A$2:$A$22,L5:P5,$D$2:$D$22))+SUMIF($A$2:$A$22,Q5,$D$2:$D$22)*(SETTINGS!$C$18-1),0)</f>
        <v>31</v>
      </c>
      <c r="U5" t="str">
        <f>'Ava Swinfen'!C20</f>
        <v>VALID TEAM</v>
      </c>
      <c r="V5">
        <f t="shared" si="0"/>
        <v>31.000499999999999</v>
      </c>
    </row>
    <row r="6" spans="1:22" x14ac:dyDescent="0.25">
      <c r="A6" t="s">
        <v>82</v>
      </c>
      <c r="B6">
        <v>10.5</v>
      </c>
      <c r="C6">
        <f>SETTINGS!F27</f>
        <v>10.5</v>
      </c>
      <c r="D6">
        <f>IFERROR(IF(INDEX('TEST RESULTS'!$H$6:$H$26,MATCH(A6,'TEST RESULTS'!$B$6:$B$26,0))="",0,MAX(SETTINGS!$C$7,MIN(SETTINGS!$C$8,SETTINGS!$C$5+ROUNDDOWN((INDEX('TEST RESULTS'!$H$6:$H$26,MATCH(A6,'TEST RESULTS'!$B$6:$B$26,0))-AVERAGE('TEST RESULTS'!$H$6:$H$26))/MAX((MAX('TEST RESULTS'!$H$6:$H$26)-MIN('TEST RESULTS'!$H$6:$H$26))/SETTINGS!$C$6,0.1),0)))),0)</f>
        <v>6</v>
      </c>
      <c r="K6" t="s">
        <v>84</v>
      </c>
      <c r="L6" t="str">
        <f>'Azlan Husain'!C10</f>
        <v>Emily Warburton</v>
      </c>
      <c r="M6" t="str">
        <f>'Azlan Husain'!C11</f>
        <v>Chinedu Chile</v>
      </c>
      <c r="N6" t="str">
        <f>'Azlan Husain'!C12</f>
        <v>Joe Paige</v>
      </c>
      <c r="O6" t="str">
        <f>'Azlan Husain'!C13</f>
        <v>Alfie Foley</v>
      </c>
      <c r="P6" t="str">
        <f>'Azlan Husain'!C14</f>
        <v>Edwin Mayers</v>
      </c>
      <c r="Q6" t="str">
        <f>'Azlan Husain'!C5</f>
        <v>Emily Warburton</v>
      </c>
      <c r="R6">
        <f>'Azlan Husain'!C17</f>
        <v>49</v>
      </c>
      <c r="S6">
        <f>'Azlan Husain'!C18</f>
        <v>1</v>
      </c>
      <c r="T6">
        <f>IF($U6="VALID TEAM",SUMPRODUCT(SUMIF($A$2:$A$22,L6:P6,$D$2:$D$22))+SUMIF($A$2:$A$22,Q6,$D$2:$D$22)*(SETTINGS!$C$18-1),0)</f>
        <v>20</v>
      </c>
      <c r="U6" t="str">
        <f>'Azlan Husain'!C20</f>
        <v>VALID TEAM</v>
      </c>
      <c r="V6">
        <f t="shared" si="0"/>
        <v>20.000599999999999</v>
      </c>
    </row>
    <row r="7" spans="1:22" x14ac:dyDescent="0.25">
      <c r="A7" t="s">
        <v>86</v>
      </c>
      <c r="B7">
        <v>10.5</v>
      </c>
      <c r="C7">
        <f>SETTINGS!F28</f>
        <v>10.5</v>
      </c>
      <c r="D7">
        <f>IFERROR(IF(INDEX('TEST RESULTS'!$H$6:$H$26,MATCH(A7,'TEST RESULTS'!$B$6:$B$26,0))="",0,MAX(SETTINGS!$C$7,MIN(SETTINGS!$C$8,SETTINGS!$C$5+ROUNDDOWN((INDEX('TEST RESULTS'!$H$6:$H$26,MATCH(A7,'TEST RESULTS'!$B$6:$B$26,0))-AVERAGE('TEST RESULTS'!$H$6:$H$26))/MAX((MAX('TEST RESULTS'!$H$6:$H$26)-MIN('TEST RESULTS'!$H$6:$H$26))/SETTINGS!$C$6,0.1),0)))),0)</f>
        <v>5</v>
      </c>
      <c r="K7" t="s">
        <v>3</v>
      </c>
      <c r="L7" t="str">
        <f>'Chinedu Chile'!C10</f>
        <v>Chinedu Chile</v>
      </c>
      <c r="M7" t="str">
        <f>'Chinedu Chile'!C11</f>
        <v>Alexa Amesimeku</v>
      </c>
      <c r="N7" t="str">
        <f>'Chinedu Chile'!C12</f>
        <v>David Wu</v>
      </c>
      <c r="O7" t="str">
        <f>'Chinedu Chile'!C13</f>
        <v>Edwin Mayers</v>
      </c>
      <c r="P7" t="str">
        <f>'Chinedu Chile'!C14</f>
        <v>Azlan Husain</v>
      </c>
      <c r="Q7" t="str">
        <f>'Chinedu Chile'!C5</f>
        <v>Chinedu Chile</v>
      </c>
      <c r="R7">
        <f>'Chinedu Chile'!C17</f>
        <v>50</v>
      </c>
      <c r="S7">
        <f>'Chinedu Chile'!C18</f>
        <v>0</v>
      </c>
      <c r="T7">
        <f>IF($U7="VALID TEAM",SUMPRODUCT(SUMIF($A$2:$A$22,L7:P7,$D$2:$D$22))+SUMIF($A$2:$A$22,Q7,$D$2:$D$22)*(SETTINGS!$C$18-1),0)</f>
        <v>31</v>
      </c>
      <c r="U7" t="str">
        <f>'Chinedu Chile'!C20</f>
        <v>VALID TEAM</v>
      </c>
      <c r="V7">
        <f t="shared" si="0"/>
        <v>31.000699999999998</v>
      </c>
    </row>
    <row r="8" spans="1:22" x14ac:dyDescent="0.25">
      <c r="A8" t="s">
        <v>10</v>
      </c>
      <c r="B8">
        <v>10.5</v>
      </c>
      <c r="C8">
        <f>SETTINGS!F29</f>
        <v>10.5</v>
      </c>
      <c r="D8">
        <f>IFERROR(IF(INDEX('TEST RESULTS'!$H$6:$H$26,MATCH(A8,'TEST RESULTS'!$B$6:$B$26,0))="",0,MAX(SETTINGS!$C$7,MIN(SETTINGS!$C$8,SETTINGS!$C$5+ROUNDDOWN((INDEX('TEST RESULTS'!$H$6:$H$26,MATCH(A8,'TEST RESULTS'!$B$6:$B$26,0))-AVERAGE('TEST RESULTS'!$H$6:$H$26))/MAX((MAX('TEST RESULTS'!$H$6:$H$26)-MIN('TEST RESULTS'!$H$6:$H$26))/SETTINGS!$C$6,0.1),0)))),0)</f>
        <v>8</v>
      </c>
      <c r="K8" t="s">
        <v>85</v>
      </c>
      <c r="L8" t="str">
        <f>'Daniel Liu'!C10</f>
        <v>Alyza Rai</v>
      </c>
      <c r="M8" t="str">
        <f>'Daniel Liu'!C11</f>
        <v>Ava Swinfen</v>
      </c>
      <c r="N8">
        <f>'Daniel Liu'!C12</f>
        <v>0</v>
      </c>
      <c r="O8" t="str">
        <f>'Daniel Liu'!C13</f>
        <v>David Wu</v>
      </c>
      <c r="P8" t="str">
        <f>'Daniel Liu'!C14</f>
        <v>Chinedu Chile</v>
      </c>
      <c r="Q8">
        <f>'Daniel Liu'!C5</f>
        <v>0</v>
      </c>
      <c r="R8">
        <f>'Daniel Liu'!C17</f>
        <v>39</v>
      </c>
      <c r="S8">
        <f>'Daniel Liu'!C18</f>
        <v>11</v>
      </c>
      <c r="T8">
        <f>IF($U8="VALID TEAM",SUMPRODUCT(SUMIF($A$2:$A$22,L8:P8,$D$2:$D$22))+SUMIF($A$2:$A$22,Q8,$D$2:$D$22)*(SETTINGS!$C$18-1),0)</f>
        <v>0</v>
      </c>
      <c r="U8" t="str">
        <f>'Daniel Liu'!C20</f>
        <v>LESS THAN 5 PLAYERS</v>
      </c>
      <c r="V8">
        <f t="shared" si="0"/>
        <v>8.0000000000000004E-4</v>
      </c>
    </row>
    <row r="9" spans="1:22" x14ac:dyDescent="0.25">
      <c r="A9" t="s">
        <v>84</v>
      </c>
      <c r="B9">
        <v>10</v>
      </c>
      <c r="C9">
        <f>SETTINGS!F30</f>
        <v>10</v>
      </c>
      <c r="D9">
        <f>IFERROR(IF(INDEX('TEST RESULTS'!$H$6:$H$26,MATCH(A9,'TEST RESULTS'!$B$6:$B$26,0))="",0,MAX(SETTINGS!$C$7,MIN(SETTINGS!$C$8,SETTINGS!$C$5+ROUNDDOWN((INDEX('TEST RESULTS'!$H$6:$H$26,MATCH(A9,'TEST RESULTS'!$B$6:$B$26,0))-AVERAGE('TEST RESULTS'!$H$6:$H$26))/MAX((MAX('TEST RESULTS'!$H$6:$H$26)-MIN('TEST RESULTS'!$H$6:$H$26))/SETTINGS!$C$6,0.1),0)))),0)</f>
        <v>5</v>
      </c>
      <c r="K9" t="s">
        <v>86</v>
      </c>
      <c r="L9" t="str">
        <f>'David Wu'!C10</f>
        <v>Azlan Husain</v>
      </c>
      <c r="M9" t="str">
        <f>'David Wu'!C11</f>
        <v>Rebecca Seymour</v>
      </c>
      <c r="N9" t="str">
        <f>'David Wu'!C12</f>
        <v>Edwin Mayers</v>
      </c>
      <c r="O9" t="str">
        <f>'David Wu'!C13</f>
        <v>Chinedu Chile</v>
      </c>
      <c r="P9" t="str">
        <f>'David Wu'!C14</f>
        <v>Joe Paige</v>
      </c>
      <c r="Q9" t="str">
        <f>'David Wu'!C5</f>
        <v>Edwin Mayers</v>
      </c>
      <c r="R9">
        <f>'David Wu'!C17</f>
        <v>50</v>
      </c>
      <c r="S9">
        <f>'David Wu'!C18</f>
        <v>0</v>
      </c>
      <c r="T9">
        <f>IF($U9="VALID TEAM",SUMPRODUCT(SUMIF($A$2:$A$22,L9:P9,$D$2:$D$22))+SUMIF($A$2:$A$22,Q9,$D$2:$D$22)*(SETTINGS!$C$18-1),0)</f>
        <v>26</v>
      </c>
      <c r="U9" t="str">
        <f>'David Wu'!C20</f>
        <v>VALID TEAM</v>
      </c>
      <c r="V9">
        <f t="shared" si="0"/>
        <v>26.000900000000001</v>
      </c>
    </row>
    <row r="10" spans="1:22" x14ac:dyDescent="0.25">
      <c r="A10" t="s">
        <v>92</v>
      </c>
      <c r="B10">
        <v>10</v>
      </c>
      <c r="C10">
        <f>SETTINGS!F31</f>
        <v>10</v>
      </c>
      <c r="D10">
        <f>IFERROR(IF(INDEX('TEST RESULTS'!$H$6:$H$26,MATCH(A10,'TEST RESULTS'!$B$6:$B$26,0))="",0,MAX(SETTINGS!$C$7,MIN(SETTINGS!$C$8,SETTINGS!$C$5+ROUNDDOWN((INDEX('TEST RESULTS'!$H$6:$H$26,MATCH(A10,'TEST RESULTS'!$B$6:$B$26,0))-AVERAGE('TEST RESULTS'!$H$6:$H$26))/MAX((MAX('TEST RESULTS'!$H$6:$H$26)-MIN('TEST RESULTS'!$H$6:$H$26))/SETTINGS!$C$6,0.1),0)))),0)</f>
        <v>7</v>
      </c>
      <c r="K10" t="s">
        <v>87</v>
      </c>
      <c r="L10" t="str">
        <f>'Edwin Mayers'!C10</f>
        <v>Sophie Barker</v>
      </c>
      <c r="M10" t="str">
        <f>'Edwin Mayers'!C11</f>
        <v>Esme Beston</v>
      </c>
      <c r="N10" t="str">
        <f>'Edwin Mayers'!C12</f>
        <v>Edwin Mayers</v>
      </c>
      <c r="O10" t="str">
        <f>'Edwin Mayers'!C13</f>
        <v>Emily Warburton</v>
      </c>
      <c r="P10" t="str">
        <f>'Edwin Mayers'!C14</f>
        <v>Ava Swinfen</v>
      </c>
      <c r="Q10" t="str">
        <f>'Edwin Mayers'!C5</f>
        <v>Emily Warburton</v>
      </c>
      <c r="R10">
        <f>'Edwin Mayers'!C17</f>
        <v>48</v>
      </c>
      <c r="S10">
        <f>'Edwin Mayers'!C18</f>
        <v>2</v>
      </c>
      <c r="T10">
        <f>IF($U10="VALID TEAM",SUMPRODUCT(SUMIF($A$2:$A$22,L10:P10,$D$2:$D$22))+SUMIF($A$2:$A$22,Q10,$D$2:$D$22)*(SETTINGS!$C$18-1),0)</f>
        <v>17</v>
      </c>
      <c r="U10" t="str">
        <f>'Edwin Mayers'!C20</f>
        <v>VALID TEAM</v>
      </c>
      <c r="V10">
        <f t="shared" si="0"/>
        <v>17.001000000000001</v>
      </c>
    </row>
    <row r="11" spans="1:22" x14ac:dyDescent="0.25">
      <c r="A11" t="s">
        <v>81</v>
      </c>
      <c r="B11">
        <v>9.5</v>
      </c>
      <c r="C11">
        <f>SETTINGS!F32</f>
        <v>9.5</v>
      </c>
      <c r="D11">
        <f>IFERROR(IF(INDEX('TEST RESULTS'!$H$6:$H$26,MATCH(A11,'TEST RESULTS'!$B$6:$B$26,0))="",0,MAX(SETTINGS!$C$7,MIN(SETTINGS!$C$8,SETTINGS!$C$5+ROUNDDOWN((INDEX('TEST RESULTS'!$H$6:$H$26,MATCH(A11,'TEST RESULTS'!$B$6:$B$26,0))-AVERAGE('TEST RESULTS'!$H$6:$H$26))/MAX((MAX('TEST RESULTS'!$H$6:$H$26)-MIN('TEST RESULTS'!$H$6:$H$26))/SETTINGS!$C$6,0.1),0)))),0)</f>
        <v>7</v>
      </c>
      <c r="K11" t="s">
        <v>88</v>
      </c>
      <c r="L11">
        <f>'Emily Warburton'!C10</f>
        <v>0</v>
      </c>
      <c r="M11">
        <f>'Emily Warburton'!C11</f>
        <v>0</v>
      </c>
      <c r="N11">
        <f>'Emily Warburton'!C12</f>
        <v>0</v>
      </c>
      <c r="O11">
        <f>'Emily Warburton'!C13</f>
        <v>0</v>
      </c>
      <c r="P11">
        <f>'Emily Warburton'!C14</f>
        <v>0</v>
      </c>
      <c r="Q11">
        <f>'Emily Warburton'!C5</f>
        <v>0</v>
      </c>
      <c r="R11">
        <f>'Emily Warburton'!C17</f>
        <v>0</v>
      </c>
      <c r="S11">
        <f>'Emily Warburton'!C18</f>
        <v>50</v>
      </c>
      <c r="T11">
        <f>IF($U11="VALID TEAM",SUMPRODUCT(SUMIF($A$2:$A$22,L11:P11,$D$2:$D$22))+SUMIF($A$2:$A$22,Q11,$D$2:$D$22)*(SETTINGS!$C$18-1),0)</f>
        <v>0</v>
      </c>
      <c r="U11" t="str">
        <f>'Emily Warburton'!C20</f>
        <v>LESS THAN 5 PLAYERS</v>
      </c>
      <c r="V11">
        <f t="shared" si="0"/>
        <v>1.1000000000000001E-3</v>
      </c>
    </row>
    <row r="12" spans="1:22" x14ac:dyDescent="0.25">
      <c r="A12" t="s">
        <v>85</v>
      </c>
      <c r="B12">
        <v>9.5</v>
      </c>
      <c r="C12">
        <f>SETTINGS!F33</f>
        <v>9.5</v>
      </c>
      <c r="D12">
        <f>IFERROR(IF(INDEX('TEST RESULTS'!$H$6:$H$26,MATCH(A12,'TEST RESULTS'!$B$6:$B$26,0))="",0,MAX(SETTINGS!$C$7,MIN(SETTINGS!$C$8,SETTINGS!$C$5+ROUNDDOWN((INDEX('TEST RESULTS'!$H$6:$H$26,MATCH(A12,'TEST RESULTS'!$B$6:$B$26,0))-AVERAGE('TEST RESULTS'!$H$6:$H$26))/MAX((MAX('TEST RESULTS'!$H$6:$H$26)-MIN('TEST RESULTS'!$H$6:$H$26))/SETTINGS!$C$6,0.1),0)))),0)</f>
        <v>5</v>
      </c>
      <c r="K12" t="s">
        <v>89</v>
      </c>
      <c r="L12">
        <f>'Esme Beston'!C10</f>
        <v>0</v>
      </c>
      <c r="M12">
        <f>'Esme Beston'!C11</f>
        <v>0</v>
      </c>
      <c r="N12">
        <f>'Esme Beston'!C12</f>
        <v>0</v>
      </c>
      <c r="O12">
        <f>'Esme Beston'!C13</f>
        <v>0</v>
      </c>
      <c r="P12">
        <f>'Esme Beston'!C14</f>
        <v>0</v>
      </c>
      <c r="Q12">
        <f>'Esme Beston'!C5</f>
        <v>0</v>
      </c>
      <c r="R12">
        <f>'Esme Beston'!C17</f>
        <v>0</v>
      </c>
      <c r="S12">
        <f>'Esme Beston'!C18</f>
        <v>50</v>
      </c>
      <c r="T12">
        <f>IF($U12="VALID TEAM",SUMPRODUCT(SUMIF($A$2:$A$22,L12:P12,$D$2:$D$22))+SUMIF($A$2:$A$22,Q12,$D$2:$D$22)*(SETTINGS!$C$18-1),0)</f>
        <v>0</v>
      </c>
      <c r="U12" t="str">
        <f>'Esme Beston'!C20</f>
        <v>LESS THAN 5 PLAYERS</v>
      </c>
      <c r="V12">
        <f t="shared" si="0"/>
        <v>1.1999999999999999E-3</v>
      </c>
    </row>
    <row r="13" spans="1:22" x14ac:dyDescent="0.25">
      <c r="A13" t="s">
        <v>93</v>
      </c>
      <c r="B13">
        <v>9.5</v>
      </c>
      <c r="C13">
        <f>SETTINGS!F34</f>
        <v>9.5</v>
      </c>
      <c r="D13">
        <f>IFERROR(IF(INDEX('TEST RESULTS'!$H$6:$H$26,MATCH(A13,'TEST RESULTS'!$B$6:$B$26,0))="",0,MAX(SETTINGS!$C$7,MIN(SETTINGS!$C$8,SETTINGS!$C$5+ROUNDDOWN((INDEX('TEST RESULTS'!$H$6:$H$26,MATCH(A13,'TEST RESULTS'!$B$6:$B$26,0))-AVERAGE('TEST RESULTS'!$H$6:$H$26))/MAX((MAX('TEST RESULTS'!$H$6:$H$26)-MIN('TEST RESULTS'!$H$6:$H$26))/SETTINGS!$C$6,0.1),0)))),0)</f>
        <v>0</v>
      </c>
      <c r="K13" t="s">
        <v>90</v>
      </c>
      <c r="L13">
        <f>'Iona Smith'!C10</f>
        <v>0</v>
      </c>
      <c r="M13">
        <f>'Iona Smith'!C11</f>
        <v>0</v>
      </c>
      <c r="N13">
        <f>'Iona Smith'!C12</f>
        <v>0</v>
      </c>
      <c r="O13">
        <f>'Iona Smith'!C13</f>
        <v>0</v>
      </c>
      <c r="P13">
        <f>'Iona Smith'!C14</f>
        <v>0</v>
      </c>
      <c r="Q13">
        <f>'Iona Smith'!C5</f>
        <v>0</v>
      </c>
      <c r="R13">
        <f>'Iona Smith'!C17</f>
        <v>0</v>
      </c>
      <c r="S13">
        <f>'Iona Smith'!C18</f>
        <v>50</v>
      </c>
      <c r="T13">
        <f>IF($U13="VALID TEAM",SUMPRODUCT(SUMIF($A$2:$A$22,L13:P13,$D$2:$D$22))+SUMIF($A$2:$A$22,Q13,$D$2:$D$22)*(SETTINGS!$C$18-1),0)</f>
        <v>0</v>
      </c>
      <c r="U13" t="str">
        <f>'Iona Smith'!C20</f>
        <v>LESS THAN 5 PLAYERS</v>
      </c>
      <c r="V13">
        <f t="shared" si="0"/>
        <v>1.2999999999999999E-3</v>
      </c>
    </row>
    <row r="14" spans="1:22" x14ac:dyDescent="0.25">
      <c r="A14" t="s">
        <v>87</v>
      </c>
      <c r="B14">
        <v>9</v>
      </c>
      <c r="C14">
        <f>SETTINGS!F35</f>
        <v>9</v>
      </c>
      <c r="D14">
        <f>IFERROR(IF(INDEX('TEST RESULTS'!$H$6:$H$26,MATCH(A14,'TEST RESULTS'!$B$6:$B$26,0))="",0,MAX(SETTINGS!$C$7,MIN(SETTINGS!$C$8,SETTINGS!$C$5+ROUNDDOWN((INDEX('TEST RESULTS'!$H$6:$H$26,MATCH(A14,'TEST RESULTS'!$B$6:$B$26,0))-AVERAGE('TEST RESULTS'!$H$6:$H$26))/MAX((MAX('TEST RESULTS'!$H$6:$H$26)-MIN('TEST RESULTS'!$H$6:$H$26))/SETTINGS!$C$6,0.1),0)))),0)</f>
        <v>4</v>
      </c>
      <c r="K14" t="s">
        <v>10</v>
      </c>
      <c r="L14" t="str">
        <f>'Joe Paige'!C10</f>
        <v>Chinedu Chile</v>
      </c>
      <c r="M14" t="str">
        <f>'Joe Paige'!C11</f>
        <v>Joe Paige</v>
      </c>
      <c r="N14" t="str">
        <f>'Joe Paige'!C12</f>
        <v>Alfie Foley</v>
      </c>
      <c r="O14" t="str">
        <f>'Joe Paige'!C13</f>
        <v>Lia Li</v>
      </c>
      <c r="P14" t="str">
        <f>'Joe Paige'!C14</f>
        <v>Oscar Day-Duran</v>
      </c>
      <c r="Q14" t="str">
        <f>'Joe Paige'!C5</f>
        <v>Chinedu Chile</v>
      </c>
      <c r="R14">
        <f>'Joe Paige'!C17</f>
        <v>50</v>
      </c>
      <c r="S14">
        <f>'Joe Paige'!C18</f>
        <v>0</v>
      </c>
      <c r="T14">
        <f>IF($U14="VALID TEAM",SUMPRODUCT(SUMIF($A$2:$A$22,L14:P14,$D$2:$D$22))+SUMIF($A$2:$A$22,Q14,$D$2:$D$22)*(SETTINGS!$C$18-1),0)</f>
        <v>30</v>
      </c>
      <c r="U14" t="str">
        <f>'Joe Paige'!C20</f>
        <v>VALID TEAM</v>
      </c>
      <c r="V14">
        <f t="shared" si="0"/>
        <v>30.0014</v>
      </c>
    </row>
    <row r="15" spans="1:22" x14ac:dyDescent="0.25">
      <c r="A15" t="s">
        <v>91</v>
      </c>
      <c r="B15">
        <v>8.5</v>
      </c>
      <c r="C15">
        <f>SETTINGS!F36</f>
        <v>8.5</v>
      </c>
      <c r="D15">
        <f>IFERROR(IF(INDEX('TEST RESULTS'!$H$6:$H$26,MATCH(A15,'TEST RESULTS'!$B$6:$B$26,0))="",0,MAX(SETTINGS!$C$7,MIN(SETTINGS!$C$8,SETTINGS!$C$5+ROUNDDOWN((INDEX('TEST RESULTS'!$H$6:$H$26,MATCH(A15,'TEST RESULTS'!$B$6:$B$26,0))-AVERAGE('TEST RESULTS'!$H$6:$H$26))/MAX((MAX('TEST RESULTS'!$H$6:$H$26)-MIN('TEST RESULTS'!$H$6:$H$26))/SETTINGS!$C$6,0.1),0)))),0)</f>
        <v>6</v>
      </c>
      <c r="K15" t="s">
        <v>12</v>
      </c>
      <c r="L15">
        <f>'Lia Li'!C10</f>
        <v>0</v>
      </c>
      <c r="M15">
        <f>'Lia Li'!C11</f>
        <v>0</v>
      </c>
      <c r="N15">
        <f>'Lia Li'!C12</f>
        <v>0</v>
      </c>
      <c r="O15">
        <f>'Lia Li'!C13</f>
        <v>0</v>
      </c>
      <c r="P15">
        <f>'Lia Li'!C14</f>
        <v>0</v>
      </c>
      <c r="Q15">
        <f>'Lia Li'!C5</f>
        <v>0</v>
      </c>
      <c r="R15">
        <f>'Lia Li'!C17</f>
        <v>0</v>
      </c>
      <c r="S15">
        <f>'Lia Li'!C18</f>
        <v>50</v>
      </c>
      <c r="T15">
        <f>IF($U15="VALID TEAM",SUMPRODUCT(SUMIF($A$2:$A$22,L15:P15,$D$2:$D$22))+SUMIF($A$2:$A$22,Q15,$D$2:$D$22)*(SETTINGS!$C$18-1),0)</f>
        <v>0</v>
      </c>
      <c r="U15" t="str">
        <f>'Lia Li'!C20</f>
        <v>LESS THAN 5 PLAYERS</v>
      </c>
      <c r="V15">
        <f t="shared" si="0"/>
        <v>1.5E-3</v>
      </c>
    </row>
    <row r="16" spans="1:22" x14ac:dyDescent="0.25">
      <c r="A16" t="s">
        <v>89</v>
      </c>
      <c r="B16">
        <v>8</v>
      </c>
      <c r="C16">
        <f>SETTINGS!F37</f>
        <v>8</v>
      </c>
      <c r="D16">
        <f>IFERROR(IF(INDEX('TEST RESULTS'!$H$6:$H$26,MATCH(A16,'TEST RESULTS'!$B$6:$B$26,0))="",0,MAX(SETTINGS!$C$7,MIN(SETTINGS!$C$8,SETTINGS!$C$5+ROUNDDOWN((INDEX('TEST RESULTS'!$H$6:$H$26,MATCH(A16,'TEST RESULTS'!$B$6:$B$26,0))-AVERAGE('TEST RESULTS'!$H$6:$H$26))/MAX((MAX('TEST RESULTS'!$H$6:$H$26)-MIN('TEST RESULTS'!$H$6:$H$26))/SETTINGS!$C$6,0.1),0)))),0)</f>
        <v>1</v>
      </c>
      <c r="K16" t="s">
        <v>91</v>
      </c>
      <c r="L16" t="str">
        <f>'Melody Zhaeentan'!C10</f>
        <v>Lia Li</v>
      </c>
      <c r="M16" t="str">
        <f>'Melody Zhaeentan'!C11</f>
        <v>Edwin Mayers</v>
      </c>
      <c r="N16" t="str">
        <f>'Melody Zhaeentan'!C12</f>
        <v>Rebecca Seymour</v>
      </c>
      <c r="O16" t="str">
        <f>'Melody Zhaeentan'!C13</f>
        <v>Joe Paige</v>
      </c>
      <c r="P16" t="str">
        <f>'Melody Zhaeentan'!C14</f>
        <v>Xander Meijer</v>
      </c>
      <c r="Q16" t="str">
        <f>'Melody Zhaeentan'!C5</f>
        <v>Lia Li</v>
      </c>
      <c r="R16">
        <f>'Melody Zhaeentan'!C17</f>
        <v>49</v>
      </c>
      <c r="S16">
        <f>'Melody Zhaeentan'!C18</f>
        <v>1</v>
      </c>
      <c r="T16">
        <f>IF($U16="VALID TEAM",SUMPRODUCT(SUMIF($A$2:$A$22,L16:P16,$D$2:$D$22))+SUMIF($A$2:$A$22,Q16,$D$2:$D$22)*(SETTINGS!$C$18-1),0)</f>
        <v>27</v>
      </c>
      <c r="U16" t="str">
        <f>'Melody Zhaeentan'!C20</f>
        <v>VALID TEAM</v>
      </c>
      <c r="V16">
        <f t="shared" si="0"/>
        <v>27.0016</v>
      </c>
    </row>
    <row r="17" spans="1:22" x14ac:dyDescent="0.25">
      <c r="A17" t="s">
        <v>90</v>
      </c>
      <c r="B17">
        <v>8</v>
      </c>
      <c r="C17">
        <f>SETTINGS!F38</f>
        <v>8</v>
      </c>
      <c r="D17">
        <f>IFERROR(IF(INDEX('TEST RESULTS'!$H$6:$H$26,MATCH(A17,'TEST RESULTS'!$B$6:$B$26,0))="",0,MAX(SETTINGS!$C$7,MIN(SETTINGS!$C$8,SETTINGS!$C$5+ROUNDDOWN((INDEX('TEST RESULTS'!$H$6:$H$26,MATCH(A17,'TEST RESULTS'!$B$6:$B$26,0))-AVERAGE('TEST RESULTS'!$H$6:$H$26))/MAX((MAX('TEST RESULTS'!$H$6:$H$26)-MIN('TEST RESULTS'!$H$6:$H$26))/SETTINGS!$C$6,0.1),0)))),0)</f>
        <v>0</v>
      </c>
      <c r="K17" t="s">
        <v>92</v>
      </c>
      <c r="L17">
        <f>'Nina De Saram'!C10</f>
        <v>0</v>
      </c>
      <c r="M17">
        <f>'Nina De Saram'!C11</f>
        <v>0</v>
      </c>
      <c r="N17">
        <f>'Nina De Saram'!C12</f>
        <v>0</v>
      </c>
      <c r="O17">
        <f>'Nina De Saram'!C13</f>
        <v>0</v>
      </c>
      <c r="P17">
        <f>'Nina De Saram'!C14</f>
        <v>0</v>
      </c>
      <c r="Q17">
        <f>'Nina De Saram'!C5</f>
        <v>0</v>
      </c>
      <c r="R17">
        <f>'Nina De Saram'!C17</f>
        <v>0</v>
      </c>
      <c r="S17">
        <f>'Nina De Saram'!C18</f>
        <v>50</v>
      </c>
      <c r="T17">
        <f>IF($U17="VALID TEAM",SUMPRODUCT(SUMIF($A$2:$A$22,L17:P17,$D$2:$D$22))+SUMIF($A$2:$A$22,Q17,$D$2:$D$22)*(SETTINGS!$C$18-1),0)</f>
        <v>0</v>
      </c>
      <c r="U17" t="str">
        <f>'Nina De Saram'!C20</f>
        <v>LESS THAN 5 PLAYERS</v>
      </c>
      <c r="V17">
        <f t="shared" si="0"/>
        <v>1.6999999999999999E-3</v>
      </c>
    </row>
    <row r="18" spans="1:22" x14ac:dyDescent="0.25">
      <c r="A18" t="s">
        <v>13</v>
      </c>
      <c r="B18">
        <v>8</v>
      </c>
      <c r="C18">
        <f>SETTINGS!F39</f>
        <v>8</v>
      </c>
      <c r="D18">
        <f>IFERROR(IF(INDEX('TEST RESULTS'!$H$6:$H$26,MATCH(A18,'TEST RESULTS'!$B$6:$B$26,0))="",0,MAX(SETTINGS!$C$7,MIN(SETTINGS!$C$8,SETTINGS!$C$5+ROUNDDOWN((INDEX('TEST RESULTS'!$H$6:$H$26,MATCH(A18,'TEST RESULTS'!$B$6:$B$26,0))-AVERAGE('TEST RESULTS'!$H$6:$H$26))/MAX((MAX('TEST RESULTS'!$H$6:$H$26)-MIN('TEST RESULTS'!$H$6:$H$26))/SETTINGS!$C$6,0.1),0)))),0)</f>
        <v>3</v>
      </c>
      <c r="K18" t="s">
        <v>13</v>
      </c>
      <c r="L18" t="str">
        <f>'Oscar Day-Duran'!C10</f>
        <v>Oscar Day-Duran</v>
      </c>
      <c r="M18" t="str">
        <f>'Oscar Day-Duran'!C11</f>
        <v>Chinedu Chile</v>
      </c>
      <c r="N18" t="str">
        <f>'Oscar Day-Duran'!C12</f>
        <v>Nina De Saram</v>
      </c>
      <c r="O18" t="str">
        <f>'Oscar Day-Duran'!C13</f>
        <v>David Wu</v>
      </c>
      <c r="P18" t="str">
        <f>'Oscar Day-Duran'!C14</f>
        <v>Joe Paige</v>
      </c>
      <c r="Q18" t="str">
        <f>'Oscar Day-Duran'!C5</f>
        <v>Joe Paige</v>
      </c>
      <c r="R18">
        <f>'Oscar Day-Duran'!C17</f>
        <v>50</v>
      </c>
      <c r="S18">
        <f>'Oscar Day-Duran'!C18</f>
        <v>0</v>
      </c>
      <c r="T18">
        <f>IF($U18="VALID TEAM",SUMPRODUCT(SUMIF($A$2:$A$22,L18:P18,$D$2:$D$22))+SUMIF($A$2:$A$22,Q18,$D$2:$D$22)*(SETTINGS!$C$18-1),0)</f>
        <v>36</v>
      </c>
      <c r="U18" t="str">
        <f>'Oscar Day-Duran'!C20</f>
        <v>VALID TEAM</v>
      </c>
      <c r="V18">
        <f t="shared" si="0"/>
        <v>36.001800000000003</v>
      </c>
    </row>
    <row r="19" spans="1:22" x14ac:dyDescent="0.25">
      <c r="A19" t="s">
        <v>11</v>
      </c>
      <c r="B19">
        <v>7.5</v>
      </c>
      <c r="C19">
        <f>SETTINGS!F40</f>
        <v>7.5</v>
      </c>
      <c r="D19">
        <f>IFERROR(IF(INDEX('TEST RESULTS'!$H$6:$H$26,MATCH(A19,'TEST RESULTS'!$B$6:$B$26,0))="",0,MAX(SETTINGS!$C$7,MIN(SETTINGS!$C$8,SETTINGS!$C$5+ROUNDDOWN((INDEX('TEST RESULTS'!$H$6:$H$26,MATCH(A19,'TEST RESULTS'!$B$6:$B$26,0))-AVERAGE('TEST RESULTS'!$H$6:$H$26))/MAX((MAX('TEST RESULTS'!$H$6:$H$26)-MIN('TEST RESULTS'!$H$6:$H$26))/SETTINGS!$C$6,0.1),0)))),0)</f>
        <v>3</v>
      </c>
      <c r="K19" t="s">
        <v>93</v>
      </c>
      <c r="L19">
        <f>'Rebecca Seymour'!C10</f>
        <v>0</v>
      </c>
      <c r="M19">
        <f>'Rebecca Seymour'!C11</f>
        <v>0</v>
      </c>
      <c r="N19">
        <f>'Rebecca Seymour'!C12</f>
        <v>0</v>
      </c>
      <c r="O19">
        <f>'Rebecca Seymour'!C13</f>
        <v>0</v>
      </c>
      <c r="P19">
        <f>'Rebecca Seymour'!C14</f>
        <v>0</v>
      </c>
      <c r="Q19">
        <f>'Rebecca Seymour'!C5</f>
        <v>0</v>
      </c>
      <c r="R19">
        <f>'Rebecca Seymour'!C17</f>
        <v>0</v>
      </c>
      <c r="S19">
        <f>'Rebecca Seymour'!C18</f>
        <v>50</v>
      </c>
      <c r="T19">
        <f>IF($U19="VALID TEAM",SUMPRODUCT(SUMIF($A$2:$A$22,L19:P19,$D$2:$D$22))+SUMIF($A$2:$A$22,Q19,$D$2:$D$22)*(SETTINGS!$C$18-1),0)</f>
        <v>0</v>
      </c>
      <c r="U19" t="str">
        <f>'Rebecca Seymour'!C20</f>
        <v>LESS THAN 5 PLAYERS</v>
      </c>
      <c r="V19">
        <f t="shared" si="0"/>
        <v>1.9E-3</v>
      </c>
    </row>
    <row r="20" spans="1:22" x14ac:dyDescent="0.25">
      <c r="A20" t="s">
        <v>83</v>
      </c>
      <c r="B20">
        <v>7</v>
      </c>
      <c r="C20">
        <f>SETTINGS!F41</f>
        <v>7</v>
      </c>
      <c r="D20">
        <f>IFERROR(IF(INDEX('TEST RESULTS'!$H$6:$H$26,MATCH(A20,'TEST RESULTS'!$B$6:$B$26,0))="",0,MAX(SETTINGS!$C$7,MIN(SETTINGS!$C$8,SETTINGS!$C$5+ROUNDDOWN((INDEX('TEST RESULTS'!$H$6:$H$26,MATCH(A20,'TEST RESULTS'!$B$6:$B$26,0))-AVERAGE('TEST RESULTS'!$H$6:$H$26))/MAX((MAX('TEST RESULTS'!$H$6:$H$26)-MIN('TEST RESULTS'!$H$6:$H$26))/SETTINGS!$C$6,0.1),0)))),0)</f>
        <v>3</v>
      </c>
      <c r="K20" t="s">
        <v>94</v>
      </c>
      <c r="L20" t="str">
        <f>'Rory Bowman'!C10</f>
        <v>David Wu</v>
      </c>
      <c r="M20" t="str">
        <f>'Rory Bowman'!C11</f>
        <v>Ava Swinfen</v>
      </c>
      <c r="N20" t="str">
        <f>'Rory Bowman'!C12</f>
        <v>Alyza Rai</v>
      </c>
      <c r="O20" t="str">
        <f>'Rory Bowman'!C13</f>
        <v>Edwin Mayers</v>
      </c>
      <c r="P20" t="str">
        <f>'Rory Bowman'!C14</f>
        <v>Lia Li</v>
      </c>
      <c r="Q20" t="str">
        <f>'Rory Bowman'!C5</f>
        <v>Lia Li</v>
      </c>
      <c r="R20">
        <f>'Rory Bowman'!C17</f>
        <v>50</v>
      </c>
      <c r="S20">
        <f>'Rory Bowman'!C18</f>
        <v>0</v>
      </c>
      <c r="T20">
        <f>IF($U20="VALID TEAM",SUMPRODUCT(SUMIF($A$2:$A$22,L20:P20,$D$2:$D$22))+SUMIF($A$2:$A$22,Q20,$D$2:$D$22)*(SETTINGS!$C$18-1),0)</f>
        <v>30</v>
      </c>
      <c r="U20" t="str">
        <f>'Rory Bowman'!C20</f>
        <v>VALID TEAM</v>
      </c>
      <c r="V20">
        <f t="shared" si="0"/>
        <v>30.001999999999999</v>
      </c>
    </row>
    <row r="21" spans="1:22" x14ac:dyDescent="0.25">
      <c r="A21" t="s">
        <v>94</v>
      </c>
      <c r="B21">
        <v>7</v>
      </c>
      <c r="C21">
        <f>SETTINGS!F42</f>
        <v>7</v>
      </c>
      <c r="D21">
        <f>IFERROR(IF(INDEX('TEST RESULTS'!$H$6:$H$26,MATCH(A21,'TEST RESULTS'!$B$6:$B$26,0))="",0,MAX(SETTINGS!$C$7,MIN(SETTINGS!$C$8,SETTINGS!$C$5+ROUNDDOWN((INDEX('TEST RESULTS'!$H$6:$H$26,MATCH(A21,'TEST RESULTS'!$B$6:$B$26,0))-AVERAGE('TEST RESULTS'!$H$6:$H$26))/MAX((MAX('TEST RESULTS'!$H$6:$H$26)-MIN('TEST RESULTS'!$H$6:$H$26))/SETTINGS!$C$6,0.1),0)))),0)</f>
        <v>0</v>
      </c>
      <c r="K21" t="s">
        <v>95</v>
      </c>
      <c r="L21">
        <f>'Sophie Barker'!C10</f>
        <v>0</v>
      </c>
      <c r="M21">
        <f>'Sophie Barker'!C11</f>
        <v>0</v>
      </c>
      <c r="N21">
        <f>'Sophie Barker'!C12</f>
        <v>0</v>
      </c>
      <c r="O21">
        <f>'Sophie Barker'!C13</f>
        <v>0</v>
      </c>
      <c r="P21">
        <f>'Sophie Barker'!C14</f>
        <v>0</v>
      </c>
      <c r="Q21">
        <f>'Sophie Barker'!C5</f>
        <v>0</v>
      </c>
      <c r="R21">
        <f>'Sophie Barker'!C17</f>
        <v>0</v>
      </c>
      <c r="S21">
        <f>'Sophie Barker'!C18</f>
        <v>50</v>
      </c>
      <c r="T21">
        <f>IF($U21="VALID TEAM",SUMPRODUCT(SUMIF($A$2:$A$22,L21:P21,$D$2:$D$22))+SUMIF($A$2:$A$22,Q21,$D$2:$D$22)*(SETTINGS!$C$18-1),0)</f>
        <v>0</v>
      </c>
      <c r="U21" t="str">
        <f>'Sophie Barker'!C20</f>
        <v>LESS THAN 5 PLAYERS</v>
      </c>
      <c r="V21">
        <f t="shared" si="0"/>
        <v>2.0999999999999999E-3</v>
      </c>
    </row>
    <row r="22" spans="1:22" x14ac:dyDescent="0.25">
      <c r="A22" t="s">
        <v>96</v>
      </c>
      <c r="B22">
        <v>7</v>
      </c>
      <c r="C22">
        <f>SETTINGS!F43</f>
        <v>7</v>
      </c>
      <c r="D22">
        <f>IFERROR(IF(INDEX('TEST RESULTS'!$H$6:$H$26,MATCH(A22,'TEST RESULTS'!$B$6:$B$26,0))="",0,MAX(SETTINGS!$C$7,MIN(SETTINGS!$C$8,SETTINGS!$C$5+ROUNDDOWN((INDEX('TEST RESULTS'!$H$6:$H$26,MATCH(A22,'TEST RESULTS'!$B$6:$B$26,0))-AVERAGE('TEST RESULTS'!$H$6:$H$26))/MAX((MAX('TEST RESULTS'!$H$6:$H$26)-MIN('TEST RESULTS'!$H$6:$H$26))/SETTINGS!$C$6,0.1),0)))),0)</f>
        <v>3</v>
      </c>
      <c r="K22" t="s">
        <v>96</v>
      </c>
      <c r="L22" t="str">
        <f>'Xander Meijer'!C10</f>
        <v>Lia Li</v>
      </c>
      <c r="M22" t="str">
        <f>'Xander Meijer'!C11</f>
        <v>David Wu</v>
      </c>
      <c r="N22" t="str">
        <f>'Xander Meijer'!C12</f>
        <v>Ava Swinfen</v>
      </c>
      <c r="O22" t="str">
        <f>'Xander Meijer'!C13</f>
        <v>Joe Paige</v>
      </c>
      <c r="P22" t="str">
        <f>'Xander Meijer'!C14</f>
        <v>Melody Zhaeentan</v>
      </c>
      <c r="Q22" t="str">
        <f>'Xander Meijer'!C5</f>
        <v>Lia Li</v>
      </c>
      <c r="R22">
        <f>'Xander Meijer'!C17</f>
        <v>49.5</v>
      </c>
      <c r="S22">
        <f>'Xander Meijer'!C18</f>
        <v>0.5</v>
      </c>
      <c r="T22">
        <f>IF($U22="VALID TEAM",SUMPRODUCT(SUMIF($A$2:$A$22,L22:P22,$D$2:$D$22))+SUMIF($A$2:$A$22,Q22,$D$2:$D$22)*(SETTINGS!$C$18-1),0)</f>
        <v>34</v>
      </c>
      <c r="U22" t="str">
        <f>'Xander Meijer'!C20</f>
        <v>VALID TEAM</v>
      </c>
      <c r="V22">
        <f t="shared" si="0"/>
        <v>34.002200000000002</v>
      </c>
    </row>
  </sheetData>
  <sheetProtection algorithmName="SHA-512" hashValue="+i6r+Xt2REYm4gNdXJDRSa0eDZV0E4ssgKokX6sKTnpYGtII3NJqHdCTtpcJASg1AfDnMDxTfk0AIyNLyBcjUA==" saltValue="xQ+qSrqZz64RCcq8gAlVfA==" spinCount="100000" sheet="1" formatCells="0" formatColumns="0" formatRows="0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187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95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95</v>
      </c>
      <c r="D10" s="37">
        <f>IF(C10="","",IFERROR(INDEX(CALCULATIONS!$C$2:$C$22,MATCH(C10,CALCULATIONS!$A$2:$A$22,0)),""))</f>
        <v>13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18 (×2)</v>
      </c>
    </row>
    <row r="11" spans="2:5" ht="32.1" customHeight="1" x14ac:dyDescent="0.25">
      <c r="B11" s="39">
        <v>2</v>
      </c>
      <c r="C11" s="23" t="s">
        <v>10</v>
      </c>
      <c r="D11" s="37">
        <f>IF(C11="","",IFERROR(INDEX(CALCULATIONS!$C$2:$C$22,MATCH(C11,CALCULATIONS!$A$2:$A$22,0)),""))</f>
        <v>10.5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8</v>
      </c>
    </row>
    <row r="12" spans="2:5" ht="32.1" customHeight="1" x14ac:dyDescent="0.25">
      <c r="B12" s="39">
        <v>3</v>
      </c>
      <c r="C12" s="23" t="s">
        <v>81</v>
      </c>
      <c r="D12" s="37">
        <f>IF(C12="","",IFERROR(INDEX(CALCULATIONS!$C$2:$C$22,MATCH(C12,CALCULATIONS!$A$2:$A$22,0)),""))</f>
        <v>9.5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7</v>
      </c>
    </row>
    <row r="13" spans="2:5" ht="32.1" customHeight="1" x14ac:dyDescent="0.25">
      <c r="B13" s="39">
        <v>4</v>
      </c>
      <c r="C13" s="23" t="s">
        <v>92</v>
      </c>
      <c r="D13" s="37">
        <f>IF(C13="","",IFERROR(INDEX(CALCULATIONS!$C$2:$C$22,MATCH(C13,CALCULATIONS!$A$2:$A$22,0)),""))</f>
        <v>10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7</v>
      </c>
    </row>
    <row r="14" spans="2:5" ht="32.1" customHeight="1" x14ac:dyDescent="0.25">
      <c r="B14" s="39">
        <v>5</v>
      </c>
      <c r="C14" s="23" t="s">
        <v>96</v>
      </c>
      <c r="D14" s="37">
        <f>IF(C14="","",IFERROR(INDEX(CALCULATIONS!$C$2:$C$22,MATCH(C14,CALCULATIONS!$A$2:$A$22,0)),""))</f>
        <v>7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3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50</v>
      </c>
    </row>
    <row r="18" spans="2:4" ht="30" customHeight="1" x14ac:dyDescent="0.25">
      <c r="B18" s="5" t="s">
        <v>16</v>
      </c>
      <c r="C18" s="40">
        <f>50-C17</f>
        <v>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43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62" priority="1">
      <formula>C20="VALID TEAM"</formula>
    </cfRule>
    <cfRule type="expression" dxfId="61" priority="2">
      <formula>C20&lt;&gt;"VALID TEAM"</formula>
    </cfRule>
  </conditionalFormatting>
  <conditionalFormatting sqref="E10:E14">
    <cfRule type="expression" dxfId="60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A00-000001000000}">
      <formula1>$C$10:$C$14</formula1>
    </dataValidation>
  </dataValidations>
  <hyperlinks>
    <hyperlink ref="B2" location="'PICK YOUR TEAM'!A1" display="← Back to PICK YOUR TEAM" xr:uid="{00000000-0004-0000-0A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A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188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95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83</v>
      </c>
      <c r="D10" s="37">
        <f>IF(C10="","",IFERROR(INDEX(CALCULATIONS!$C$2:$C$22,MATCH(C10,CALCULATIONS!$A$2:$A$22,0)),""))</f>
        <v>7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3</v>
      </c>
    </row>
    <row r="11" spans="2:5" ht="32.1" customHeight="1" x14ac:dyDescent="0.25">
      <c r="B11" s="39">
        <v>2</v>
      </c>
      <c r="C11" s="23" t="s">
        <v>86</v>
      </c>
      <c r="D11" s="37">
        <f>IF(C11="","",IFERROR(INDEX(CALCULATIONS!$C$2:$C$22,MATCH(C11,CALCULATIONS!$A$2:$A$22,0)),""))</f>
        <v>10.5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5</v>
      </c>
    </row>
    <row r="12" spans="2:5" ht="32.1" customHeight="1" x14ac:dyDescent="0.25">
      <c r="B12" s="39">
        <v>3</v>
      </c>
      <c r="C12" s="23" t="s">
        <v>82</v>
      </c>
      <c r="D12" s="37">
        <f>IF(C12="","",IFERROR(INDEX(CALCULATIONS!$C$2:$C$22,MATCH(C12,CALCULATIONS!$A$2:$A$22,0)),""))</f>
        <v>10.5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6</v>
      </c>
    </row>
    <row r="13" spans="2:5" ht="32.1" customHeight="1" x14ac:dyDescent="0.25">
      <c r="B13" s="39">
        <v>4</v>
      </c>
      <c r="C13" s="23" t="s">
        <v>95</v>
      </c>
      <c r="D13" s="37">
        <f>IF(C13="","",IFERROR(INDEX(CALCULATIONS!$C$2:$C$22,MATCH(C13,CALCULATIONS!$A$2:$A$22,0)),""))</f>
        <v>13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18 (×2)</v>
      </c>
    </row>
    <row r="14" spans="2:5" ht="32.1" customHeight="1" x14ac:dyDescent="0.25">
      <c r="B14" s="39">
        <v>5</v>
      </c>
      <c r="C14" s="23" t="s">
        <v>87</v>
      </c>
      <c r="D14" s="37">
        <f>IF(C14="","",IFERROR(INDEX(CALCULATIONS!$C$2:$C$22,MATCH(C14,CALCULATIONS!$A$2:$A$22,0)),""))</f>
        <v>9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4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50</v>
      </c>
    </row>
    <row r="18" spans="2:4" ht="30" customHeight="1" x14ac:dyDescent="0.25">
      <c r="B18" s="5" t="s">
        <v>16</v>
      </c>
      <c r="C18" s="40">
        <f>50-C17</f>
        <v>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36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59" priority="1">
      <formula>C20="VALID TEAM"</formula>
    </cfRule>
    <cfRule type="expression" dxfId="58" priority="2">
      <formula>C20&lt;&gt;"VALID TEAM"</formula>
    </cfRule>
  </conditionalFormatting>
  <conditionalFormatting sqref="E10:E14">
    <cfRule type="expression" dxfId="57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B00-000001000000}">
      <formula1>$C$10:$C$14</formula1>
    </dataValidation>
  </dataValidations>
  <hyperlinks>
    <hyperlink ref="B2" location="'PICK YOUR TEAM'!A1" display="← Back to PICK YOUR TEAM" xr:uid="{00000000-0004-0000-0B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B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189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/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/>
      <c r="D10" s="37" t="str">
        <f>IF(C10="","",IFERROR(INDEX(CALCULATIONS!$C$2:$C$22,MATCH(C10,CALCULATIONS!$A$2:$A$22,0)),""))</f>
        <v/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/>
      </c>
    </row>
    <row r="11" spans="2:5" ht="32.1" customHeight="1" x14ac:dyDescent="0.25">
      <c r="B11" s="39">
        <v>2</v>
      </c>
      <c r="C11" s="23"/>
      <c r="D11" s="37" t="str">
        <f>IF(C11="","",IFERROR(INDEX(CALCULATIONS!$C$2:$C$22,MATCH(C11,CALCULATIONS!$A$2:$A$22,0)),""))</f>
        <v/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/>
      </c>
    </row>
    <row r="12" spans="2:5" ht="32.1" customHeight="1" x14ac:dyDescent="0.25">
      <c r="B12" s="39">
        <v>3</v>
      </c>
      <c r="C12" s="23"/>
      <c r="D12" s="37" t="str">
        <f>IF(C12="","",IFERROR(INDEX(CALCULATIONS!$C$2:$C$22,MATCH(C12,CALCULATIONS!$A$2:$A$22,0)),""))</f>
        <v/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/>
      </c>
    </row>
    <row r="13" spans="2:5" ht="32.1" customHeight="1" x14ac:dyDescent="0.25">
      <c r="B13" s="39">
        <v>4</v>
      </c>
      <c r="C13" s="23"/>
      <c r="D13" s="37" t="str">
        <f>IF(C13="","",IFERROR(INDEX(CALCULATIONS!$C$2:$C$22,MATCH(C13,CALCULATIONS!$A$2:$A$22,0)),""))</f>
        <v/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/>
      </c>
    </row>
    <row r="14" spans="2:5" ht="32.1" customHeight="1" x14ac:dyDescent="0.25">
      <c r="B14" s="39">
        <v>5</v>
      </c>
      <c r="C14" s="23"/>
      <c r="D14" s="37" t="str">
        <f>IF(C14="","",IFERROR(INDEX(CALCULATIONS!$C$2:$C$22,MATCH(C14,CALCULATIONS!$A$2:$A$22,0)),""))</f>
        <v/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/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0</v>
      </c>
    </row>
    <row r="18" spans="2:4" ht="30" customHeight="1" x14ac:dyDescent="0.25">
      <c r="B18" s="5" t="s">
        <v>16</v>
      </c>
      <c r="C18" s="40">
        <f>50-C17</f>
        <v>50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56" priority="1">
      <formula>C20="VALID TEAM"</formula>
    </cfRule>
    <cfRule type="expression" dxfId="55" priority="2">
      <formula>C20&lt;&gt;"VALID TEAM"</formula>
    </cfRule>
  </conditionalFormatting>
  <conditionalFormatting sqref="E10:E14">
    <cfRule type="expression" dxfId="54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C00-000001000000}">
      <formula1>$C$10:$C$14</formula1>
    </dataValidation>
  </dataValidations>
  <hyperlinks>
    <hyperlink ref="B2" location="'PICK YOUR TEAM'!A1" display="← Back to PICK YOUR TEAM" xr:uid="{00000000-0004-0000-0C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C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190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12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83</v>
      </c>
      <c r="D10" s="37">
        <f>IF(C10="","",IFERROR(INDEX(CALCULATIONS!$C$2:$C$22,MATCH(C10,CALCULATIONS!$A$2:$A$22,0)),""))</f>
        <v>7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3</v>
      </c>
    </row>
    <row r="11" spans="2:5" ht="32.1" customHeight="1" x14ac:dyDescent="0.25">
      <c r="B11" s="39">
        <v>2</v>
      </c>
      <c r="C11" s="23" t="s">
        <v>91</v>
      </c>
      <c r="D11" s="37">
        <f>IF(C11="","",IFERROR(INDEX(CALCULATIONS!$C$2:$C$22,MATCH(C11,CALCULATIONS!$A$2:$A$22,0)),""))</f>
        <v>8.5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6</v>
      </c>
    </row>
    <row r="12" spans="2:5" ht="32.1" customHeight="1" x14ac:dyDescent="0.25">
      <c r="B12" s="39">
        <v>3</v>
      </c>
      <c r="C12" s="23" t="s">
        <v>12</v>
      </c>
      <c r="D12" s="37">
        <f>IF(C12="","",IFERROR(INDEX(CALCULATIONS!$C$2:$C$22,MATCH(C12,CALCULATIONS!$A$2:$A$22,0)),""))</f>
        <v>13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12 (×2)</v>
      </c>
    </row>
    <row r="13" spans="2:5" ht="32.1" customHeight="1" x14ac:dyDescent="0.25">
      <c r="B13" s="39">
        <v>4</v>
      </c>
      <c r="C13" s="23" t="s">
        <v>3</v>
      </c>
      <c r="D13" s="37">
        <f>IF(C13="","",IFERROR(INDEX(CALCULATIONS!$C$2:$C$22,MATCH(C13,CALCULATIONS!$A$2:$A$22,0)),""))</f>
        <v>11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5</v>
      </c>
    </row>
    <row r="14" spans="2:5" ht="32.1" customHeight="1" x14ac:dyDescent="0.25">
      <c r="B14" s="39">
        <v>5</v>
      </c>
      <c r="C14" s="23" t="s">
        <v>86</v>
      </c>
      <c r="D14" s="37">
        <f>IF(C14="","",IFERROR(INDEX(CALCULATIONS!$C$2:$C$22,MATCH(C14,CALCULATIONS!$A$2:$A$22,0)),""))</f>
        <v>10.5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5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50</v>
      </c>
    </row>
    <row r="18" spans="2:4" ht="30" customHeight="1" x14ac:dyDescent="0.25">
      <c r="B18" s="5" t="s">
        <v>16</v>
      </c>
      <c r="C18" s="40">
        <f>50-C17</f>
        <v>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31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53" priority="1">
      <formula>C20="VALID TEAM"</formula>
    </cfRule>
    <cfRule type="expression" dxfId="52" priority="2">
      <formula>C20&lt;&gt;"VALID TEAM"</formula>
    </cfRule>
  </conditionalFormatting>
  <conditionalFormatting sqref="E10:E14">
    <cfRule type="expression" dxfId="51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D00-000001000000}">
      <formula1>$C$10:$C$14</formula1>
    </dataValidation>
  </dataValidations>
  <hyperlinks>
    <hyperlink ref="B2" location="'PICK YOUR TEAM'!A1" display="← Back to PICK YOUR TEAM" xr:uid="{00000000-0004-0000-0D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D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191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88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88</v>
      </c>
      <c r="D10" s="37">
        <f>IF(C10="","",IFERROR(INDEX(CALCULATIONS!$C$2:$C$22,MATCH(C10,CALCULATIONS!$A$2:$A$22,0)),""))</f>
        <v>11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0 (×2)</v>
      </c>
    </row>
    <row r="11" spans="2:5" ht="32.1" customHeight="1" x14ac:dyDescent="0.25">
      <c r="B11" s="39">
        <v>2</v>
      </c>
      <c r="C11" s="23" t="s">
        <v>3</v>
      </c>
      <c r="D11" s="37">
        <f>IF(C11="","",IFERROR(INDEX(CALCULATIONS!$C$2:$C$22,MATCH(C11,CALCULATIONS!$A$2:$A$22,0)),""))</f>
        <v>11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5</v>
      </c>
    </row>
    <row r="12" spans="2:5" ht="32.1" customHeight="1" x14ac:dyDescent="0.25">
      <c r="B12" s="39">
        <v>3</v>
      </c>
      <c r="C12" s="23" t="s">
        <v>10</v>
      </c>
      <c r="D12" s="37">
        <f>IF(C12="","",IFERROR(INDEX(CALCULATIONS!$C$2:$C$22,MATCH(C12,CALCULATIONS!$A$2:$A$22,0)),""))</f>
        <v>10.5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8</v>
      </c>
    </row>
    <row r="13" spans="2:5" ht="32.1" customHeight="1" x14ac:dyDescent="0.25">
      <c r="B13" s="39">
        <v>4</v>
      </c>
      <c r="C13" s="23" t="s">
        <v>11</v>
      </c>
      <c r="D13" s="37">
        <f>IF(C13="","",IFERROR(INDEX(CALCULATIONS!$C$2:$C$22,MATCH(C13,CALCULATIONS!$A$2:$A$22,0)),""))</f>
        <v>7.5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3</v>
      </c>
    </row>
    <row r="14" spans="2:5" ht="32.1" customHeight="1" x14ac:dyDescent="0.25">
      <c r="B14" s="39">
        <v>5</v>
      </c>
      <c r="C14" s="23" t="s">
        <v>87</v>
      </c>
      <c r="D14" s="37">
        <f>IF(C14="","",IFERROR(INDEX(CALCULATIONS!$C$2:$C$22,MATCH(C14,CALCULATIONS!$A$2:$A$22,0)),""))</f>
        <v>9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4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49</v>
      </c>
    </row>
    <row r="18" spans="2:4" ht="30" customHeight="1" x14ac:dyDescent="0.25">
      <c r="B18" s="5" t="s">
        <v>16</v>
      </c>
      <c r="C18" s="40">
        <f>50-C17</f>
        <v>1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20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50" priority="1">
      <formula>C20="VALID TEAM"</formula>
    </cfRule>
    <cfRule type="expression" dxfId="49" priority="2">
      <formula>C20&lt;&gt;"VALID TEAM"</formula>
    </cfRule>
  </conditionalFormatting>
  <conditionalFormatting sqref="E10:E14">
    <cfRule type="expression" dxfId="48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E00-000001000000}">
      <formula1>$C$10:$C$14</formula1>
    </dataValidation>
  </dataValidations>
  <hyperlinks>
    <hyperlink ref="B2" location="'PICK YOUR TEAM'!A1" display="← Back to PICK YOUR TEAM" xr:uid="{00000000-0004-0000-0E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E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75569"/>
  </sheetPr>
  <dimension ref="B1:E24"/>
  <sheetViews>
    <sheetView showGridLines="0" topLeftCell="C1" zoomScale="90" workbookViewId="0">
      <selection activeCell="C12" sqref="C12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192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3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3</v>
      </c>
      <c r="D10" s="37">
        <f>IF(C10="","",IFERROR(INDEX(CALCULATIONS!$C$2:$C$22,MATCH(C10,CALCULATIONS!$A$2:$A$22,0)),""))</f>
        <v>11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10 (×2)</v>
      </c>
    </row>
    <row r="11" spans="2:5" ht="32.1" customHeight="1" x14ac:dyDescent="0.25">
      <c r="B11" s="39">
        <v>2</v>
      </c>
      <c r="C11" s="23" t="s">
        <v>81</v>
      </c>
      <c r="D11" s="37">
        <f>IF(C11="","",IFERROR(INDEX(CALCULATIONS!$C$2:$C$22,MATCH(C11,CALCULATIONS!$A$2:$A$22,0)),""))</f>
        <v>9.5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7</v>
      </c>
    </row>
    <row r="12" spans="2:5" ht="32.1" customHeight="1" x14ac:dyDescent="0.25">
      <c r="B12" s="39">
        <v>3</v>
      </c>
      <c r="C12" s="23" t="s">
        <v>86</v>
      </c>
      <c r="D12" s="37">
        <f>IF(C12="","",IFERROR(INDEX(CALCULATIONS!$C$2:$C$22,MATCH(C12,CALCULATIONS!$A$2:$A$22,0)),""))</f>
        <v>10.5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5</v>
      </c>
    </row>
    <row r="13" spans="2:5" ht="32.1" customHeight="1" x14ac:dyDescent="0.25">
      <c r="B13" s="39">
        <v>4</v>
      </c>
      <c r="C13" s="23" t="s">
        <v>87</v>
      </c>
      <c r="D13" s="37">
        <f>IF(C13="","",IFERROR(INDEX(CALCULATIONS!$C$2:$C$22,MATCH(C13,CALCULATIONS!$A$2:$A$22,0)),""))</f>
        <v>9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4</v>
      </c>
    </row>
    <row r="14" spans="2:5" ht="32.1" customHeight="1" x14ac:dyDescent="0.25">
      <c r="B14" s="39">
        <v>5</v>
      </c>
      <c r="C14" s="23" t="s">
        <v>84</v>
      </c>
      <c r="D14" s="37">
        <f>IF(C14="","",IFERROR(INDEX(CALCULATIONS!$C$2:$C$22,MATCH(C14,CALCULATIONS!$A$2:$A$22,0)),""))</f>
        <v>10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5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50</v>
      </c>
    </row>
    <row r="18" spans="2:4" ht="30" customHeight="1" x14ac:dyDescent="0.25">
      <c r="B18" s="5" t="s">
        <v>16</v>
      </c>
      <c r="C18" s="40">
        <f>50-C17</f>
        <v>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31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47" priority="1">
      <formula>C20="VALID TEAM"</formula>
    </cfRule>
    <cfRule type="expression" dxfId="46" priority="2">
      <formula>C20&lt;&gt;"VALID TEAM"</formula>
    </cfRule>
  </conditionalFormatting>
  <conditionalFormatting sqref="E10:E14">
    <cfRule type="expression" dxfId="45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F00-000001000000}">
      <formula1>$C$10:$C$14</formula1>
    </dataValidation>
  </dataValidations>
  <hyperlinks>
    <hyperlink ref="B2" location="'PICK YOUR TEAM'!A1" display="← Back to PICK YOUR TEAM" xr:uid="{00000000-0004-0000-0F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F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75569"/>
  </sheetPr>
  <dimension ref="B1:E24"/>
  <sheetViews>
    <sheetView showGridLines="0" zoomScale="90" workbookViewId="0">
      <selection activeCell="I12" sqref="I12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193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/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82</v>
      </c>
      <c r="D10" s="37">
        <f>IF(C10="","",IFERROR(INDEX(CALCULATIONS!$C$2:$C$22,MATCH(C10,CALCULATIONS!$A$2:$A$22,0)),""))</f>
        <v>10.5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6</v>
      </c>
    </row>
    <row r="11" spans="2:5" ht="32.1" customHeight="1" x14ac:dyDescent="0.25">
      <c r="B11" s="39">
        <v>2</v>
      </c>
      <c r="C11" s="23" t="s">
        <v>83</v>
      </c>
      <c r="D11" s="37">
        <f>IF(C11="","",IFERROR(INDEX(CALCULATIONS!$C$2:$C$22,MATCH(C11,CALCULATIONS!$A$2:$A$22,0)),""))</f>
        <v>7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3</v>
      </c>
    </row>
    <row r="12" spans="2:5" ht="32.1" customHeight="1" x14ac:dyDescent="0.25">
      <c r="B12" s="39">
        <v>3</v>
      </c>
      <c r="C12" s="23"/>
      <c r="D12" s="37" t="str">
        <f>IF(C12="","",IFERROR(INDEX(CALCULATIONS!$C$2:$C$22,MATCH(C12,CALCULATIONS!$A$2:$A$22,0)),""))</f>
        <v/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/>
      </c>
    </row>
    <row r="13" spans="2:5" ht="32.1" customHeight="1" x14ac:dyDescent="0.25">
      <c r="B13" s="39">
        <v>4</v>
      </c>
      <c r="C13" s="23" t="s">
        <v>86</v>
      </c>
      <c r="D13" s="37">
        <f>IF(C13="","",IFERROR(INDEX(CALCULATIONS!$C$2:$C$22,MATCH(C13,CALCULATIONS!$A$2:$A$22,0)),""))</f>
        <v>10.5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5</v>
      </c>
    </row>
    <row r="14" spans="2:5" ht="32.1" customHeight="1" x14ac:dyDescent="0.25">
      <c r="B14" s="39">
        <v>5</v>
      </c>
      <c r="C14" s="23" t="s">
        <v>3</v>
      </c>
      <c r="D14" s="37">
        <f>IF(C14="","",IFERROR(INDEX(CALCULATIONS!$C$2:$C$22,MATCH(C14,CALCULATIONS!$A$2:$A$22,0)),""))</f>
        <v>11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5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39</v>
      </c>
    </row>
    <row r="18" spans="2:4" ht="30" customHeight="1" x14ac:dyDescent="0.25">
      <c r="B18" s="5" t="s">
        <v>16</v>
      </c>
      <c r="C18" s="40">
        <f>50-C17</f>
        <v>11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44" priority="1">
      <formula>C20="VALID TEAM"</formula>
    </cfRule>
    <cfRule type="expression" dxfId="43" priority="2">
      <formula>C20&lt;&gt;"VALID TEAM"</formula>
    </cfRule>
  </conditionalFormatting>
  <conditionalFormatting sqref="E10:E14">
    <cfRule type="expression" dxfId="42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000-000001000000}">
      <formula1>$C$10:$C$14</formula1>
    </dataValidation>
  </dataValidations>
  <hyperlinks>
    <hyperlink ref="B2" location="'PICK YOUR TEAM'!A1" display="← Back to PICK YOUR TEAM" xr:uid="{00000000-0004-0000-10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0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194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87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84</v>
      </c>
      <c r="D10" s="37">
        <f>IF(C10="","",IFERROR(INDEX(CALCULATIONS!$C$2:$C$22,MATCH(C10,CALCULATIONS!$A$2:$A$22,0)),""))</f>
        <v>10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5</v>
      </c>
    </row>
    <row r="11" spans="2:5" ht="32.1" customHeight="1" x14ac:dyDescent="0.25">
      <c r="B11" s="39">
        <v>2</v>
      </c>
      <c r="C11" s="23" t="s">
        <v>93</v>
      </c>
      <c r="D11" s="37">
        <f>IF(C11="","",IFERROR(INDEX(CALCULATIONS!$C$2:$C$22,MATCH(C11,CALCULATIONS!$A$2:$A$22,0)),""))</f>
        <v>9.5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0</v>
      </c>
    </row>
    <row r="12" spans="2:5" ht="32.1" customHeight="1" x14ac:dyDescent="0.25">
      <c r="B12" s="39">
        <v>3</v>
      </c>
      <c r="C12" s="23" t="s">
        <v>87</v>
      </c>
      <c r="D12" s="37">
        <f>IF(C12="","",IFERROR(INDEX(CALCULATIONS!$C$2:$C$22,MATCH(C12,CALCULATIONS!$A$2:$A$22,0)),""))</f>
        <v>9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8 (×2)</v>
      </c>
    </row>
    <row r="13" spans="2:5" ht="32.1" customHeight="1" x14ac:dyDescent="0.25">
      <c r="B13" s="39">
        <v>4</v>
      </c>
      <c r="C13" s="23" t="s">
        <v>3</v>
      </c>
      <c r="D13" s="37">
        <f>IF(C13="","",IFERROR(INDEX(CALCULATIONS!$C$2:$C$22,MATCH(C13,CALCULATIONS!$A$2:$A$22,0)),""))</f>
        <v>11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5</v>
      </c>
    </row>
    <row r="14" spans="2:5" ht="32.1" customHeight="1" x14ac:dyDescent="0.25">
      <c r="B14" s="39">
        <v>5</v>
      </c>
      <c r="C14" s="23" t="s">
        <v>10</v>
      </c>
      <c r="D14" s="37">
        <f>IF(C14="","",IFERROR(INDEX(CALCULATIONS!$C$2:$C$22,MATCH(C14,CALCULATIONS!$A$2:$A$22,0)),""))</f>
        <v>10.5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8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50</v>
      </c>
    </row>
    <row r="18" spans="2:4" ht="30" customHeight="1" x14ac:dyDescent="0.25">
      <c r="B18" s="5" t="s">
        <v>16</v>
      </c>
      <c r="C18" s="40">
        <f>50-C17</f>
        <v>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26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41" priority="1">
      <formula>C20="VALID TEAM"</formula>
    </cfRule>
    <cfRule type="expression" dxfId="40" priority="2">
      <formula>C20&lt;&gt;"VALID TEAM"</formula>
    </cfRule>
  </conditionalFormatting>
  <conditionalFormatting sqref="E10:E14">
    <cfRule type="expression" dxfId="39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100-000001000000}">
      <formula1>$C$10:$C$14</formula1>
    </dataValidation>
  </dataValidations>
  <hyperlinks>
    <hyperlink ref="B2" location="'PICK YOUR TEAM'!A1" display="← Back to PICK YOUR TEAM" xr:uid="{00000000-0004-0000-11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1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195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88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95</v>
      </c>
      <c r="D10" s="37">
        <f>IF(C10="","",IFERROR(INDEX(CALCULATIONS!$C$2:$C$22,MATCH(C10,CALCULATIONS!$A$2:$A$22,0)),""))</f>
        <v>13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9</v>
      </c>
    </row>
    <row r="11" spans="2:5" ht="32.1" customHeight="1" x14ac:dyDescent="0.25">
      <c r="B11" s="39">
        <v>2</v>
      </c>
      <c r="C11" s="23" t="s">
        <v>89</v>
      </c>
      <c r="D11" s="37">
        <f>IF(C11="","",IFERROR(INDEX(CALCULATIONS!$C$2:$C$22,MATCH(C11,CALCULATIONS!$A$2:$A$22,0)),""))</f>
        <v>8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1</v>
      </c>
    </row>
    <row r="12" spans="2:5" ht="32.1" customHeight="1" x14ac:dyDescent="0.25">
      <c r="B12" s="39">
        <v>3</v>
      </c>
      <c r="C12" s="23" t="s">
        <v>87</v>
      </c>
      <c r="D12" s="37">
        <f>IF(C12="","",IFERROR(INDEX(CALCULATIONS!$C$2:$C$22,MATCH(C12,CALCULATIONS!$A$2:$A$22,0)),""))</f>
        <v>9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4</v>
      </c>
    </row>
    <row r="13" spans="2:5" ht="32.1" customHeight="1" x14ac:dyDescent="0.25">
      <c r="B13" s="39">
        <v>4</v>
      </c>
      <c r="C13" s="23" t="s">
        <v>88</v>
      </c>
      <c r="D13" s="37">
        <f>IF(C13="","",IFERROR(INDEX(CALCULATIONS!$C$2:$C$22,MATCH(C13,CALCULATIONS!$A$2:$A$22,0)),""))</f>
        <v>11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0 (×2)</v>
      </c>
    </row>
    <row r="14" spans="2:5" ht="32.1" customHeight="1" x14ac:dyDescent="0.25">
      <c r="B14" s="39">
        <v>5</v>
      </c>
      <c r="C14" s="23" t="s">
        <v>83</v>
      </c>
      <c r="D14" s="37">
        <f>IF(C14="","",IFERROR(INDEX(CALCULATIONS!$C$2:$C$22,MATCH(C14,CALCULATIONS!$A$2:$A$22,0)),""))</f>
        <v>7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3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48</v>
      </c>
    </row>
    <row r="18" spans="2:4" ht="30" customHeight="1" x14ac:dyDescent="0.25">
      <c r="B18" s="5" t="s">
        <v>16</v>
      </c>
      <c r="C18" s="40">
        <f>50-C17</f>
        <v>2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17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38" priority="1">
      <formula>C20="VALID TEAM"</formula>
    </cfRule>
    <cfRule type="expression" dxfId="37" priority="2">
      <formula>C20&lt;&gt;"VALID TEAM"</formula>
    </cfRule>
  </conditionalFormatting>
  <conditionalFormatting sqref="E10:E14">
    <cfRule type="expression" dxfId="36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200-000001000000}">
      <formula1>$C$10:$C$14</formula1>
    </dataValidation>
  </dataValidations>
  <hyperlinks>
    <hyperlink ref="B2" location="'PICK YOUR TEAM'!A1" display="← Back to PICK YOUR TEAM" xr:uid="{00000000-0004-0000-12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2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196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/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/>
      <c r="D10" s="37" t="str">
        <f>IF(C10="","",IFERROR(INDEX(CALCULATIONS!$C$2:$C$22,MATCH(C10,CALCULATIONS!$A$2:$A$22,0)),""))</f>
        <v/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/>
      </c>
    </row>
    <row r="11" spans="2:5" ht="32.1" customHeight="1" x14ac:dyDescent="0.25">
      <c r="B11" s="39">
        <v>2</v>
      </c>
      <c r="C11" s="23"/>
      <c r="D11" s="37" t="str">
        <f>IF(C11="","",IFERROR(INDEX(CALCULATIONS!$C$2:$C$22,MATCH(C11,CALCULATIONS!$A$2:$A$22,0)),""))</f>
        <v/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/>
      </c>
    </row>
    <row r="12" spans="2:5" ht="32.1" customHeight="1" x14ac:dyDescent="0.25">
      <c r="B12" s="39">
        <v>3</v>
      </c>
      <c r="C12" s="23"/>
      <c r="D12" s="37" t="str">
        <f>IF(C12="","",IFERROR(INDEX(CALCULATIONS!$C$2:$C$22,MATCH(C12,CALCULATIONS!$A$2:$A$22,0)),""))</f>
        <v/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/>
      </c>
    </row>
    <row r="13" spans="2:5" ht="32.1" customHeight="1" x14ac:dyDescent="0.25">
      <c r="B13" s="39">
        <v>4</v>
      </c>
      <c r="C13" s="23"/>
      <c r="D13" s="37" t="str">
        <f>IF(C13="","",IFERROR(INDEX(CALCULATIONS!$C$2:$C$22,MATCH(C13,CALCULATIONS!$A$2:$A$22,0)),""))</f>
        <v/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/>
      </c>
    </row>
    <row r="14" spans="2:5" ht="32.1" customHeight="1" x14ac:dyDescent="0.25">
      <c r="B14" s="39">
        <v>5</v>
      </c>
      <c r="C14" s="23"/>
      <c r="D14" s="37" t="str">
        <f>IF(C14="","",IFERROR(INDEX(CALCULATIONS!$C$2:$C$22,MATCH(C14,CALCULATIONS!$A$2:$A$22,0)),""))</f>
        <v/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/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0</v>
      </c>
    </row>
    <row r="18" spans="2:4" ht="30" customHeight="1" x14ac:dyDescent="0.25">
      <c r="B18" s="5" t="s">
        <v>16</v>
      </c>
      <c r="C18" s="40">
        <f>50-C17</f>
        <v>50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35" priority="1">
      <formula>C20="VALID TEAM"</formula>
    </cfRule>
    <cfRule type="expression" dxfId="34" priority="2">
      <formula>C20&lt;&gt;"VALID TEAM"</formula>
    </cfRule>
  </conditionalFormatting>
  <conditionalFormatting sqref="E10:E14">
    <cfRule type="expression" dxfId="33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300-000001000000}">
      <formula1>$C$10:$C$14</formula1>
    </dataValidation>
  </dataValidations>
  <hyperlinks>
    <hyperlink ref="B2" location="'PICK YOUR TEAM'!A1" display="← Back to PICK YOUR TEAM" xr:uid="{00000000-0004-0000-13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3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197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/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/>
      <c r="D10" s="37" t="str">
        <f>IF(C10="","",IFERROR(INDEX(CALCULATIONS!$C$2:$C$22,MATCH(C10,CALCULATIONS!$A$2:$A$22,0)),""))</f>
        <v/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/>
      </c>
    </row>
    <row r="11" spans="2:5" ht="32.1" customHeight="1" x14ac:dyDescent="0.25">
      <c r="B11" s="39">
        <v>2</v>
      </c>
      <c r="C11" s="23"/>
      <c r="D11" s="37" t="str">
        <f>IF(C11="","",IFERROR(INDEX(CALCULATIONS!$C$2:$C$22,MATCH(C11,CALCULATIONS!$A$2:$A$22,0)),""))</f>
        <v/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/>
      </c>
    </row>
    <row r="12" spans="2:5" ht="32.1" customHeight="1" x14ac:dyDescent="0.25">
      <c r="B12" s="39">
        <v>3</v>
      </c>
      <c r="C12" s="23"/>
      <c r="D12" s="37" t="str">
        <f>IF(C12="","",IFERROR(INDEX(CALCULATIONS!$C$2:$C$22,MATCH(C12,CALCULATIONS!$A$2:$A$22,0)),""))</f>
        <v/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/>
      </c>
    </row>
    <row r="13" spans="2:5" ht="32.1" customHeight="1" x14ac:dyDescent="0.25">
      <c r="B13" s="39">
        <v>4</v>
      </c>
      <c r="C13" s="23"/>
      <c r="D13" s="37" t="str">
        <f>IF(C13="","",IFERROR(INDEX(CALCULATIONS!$C$2:$C$22,MATCH(C13,CALCULATIONS!$A$2:$A$22,0)),""))</f>
        <v/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/>
      </c>
    </row>
    <row r="14" spans="2:5" ht="32.1" customHeight="1" x14ac:dyDescent="0.25">
      <c r="B14" s="39">
        <v>5</v>
      </c>
      <c r="C14" s="23"/>
      <c r="D14" s="37" t="str">
        <f>IF(C14="","",IFERROR(INDEX(CALCULATIONS!$C$2:$C$22,MATCH(C14,CALCULATIONS!$A$2:$A$22,0)),""))</f>
        <v/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/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0</v>
      </c>
    </row>
    <row r="18" spans="2:4" ht="30" customHeight="1" x14ac:dyDescent="0.25">
      <c r="B18" s="5" t="s">
        <v>16</v>
      </c>
      <c r="C18" s="40">
        <f>50-C17</f>
        <v>50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32" priority="1">
      <formula>C20="VALID TEAM"</formula>
    </cfRule>
    <cfRule type="expression" dxfId="31" priority="2">
      <formula>C20&lt;&gt;"VALID TEAM"</formula>
    </cfRule>
  </conditionalFormatting>
  <conditionalFormatting sqref="E10:E14">
    <cfRule type="expression" dxfId="30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400-000001000000}">
      <formula1>$C$10:$C$14</formula1>
    </dataValidation>
  </dataValidations>
  <hyperlinks>
    <hyperlink ref="B2" location="'PICK YOUR TEAM'!A1" display="← Back to PICK YOUR TEAM" xr:uid="{00000000-0004-0000-14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4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475569"/>
  </sheetPr>
  <dimension ref="B1:E24"/>
  <sheetViews>
    <sheetView showGridLines="0" zoomScale="90" workbookViewId="0">
      <selection activeCell="C11" sqref="C11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198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/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/>
      <c r="D10" s="37" t="str">
        <f>IF(C10="","",IFERROR(INDEX(CALCULATIONS!$C$2:$C$22,MATCH(C10,CALCULATIONS!$A$2:$A$22,0)),""))</f>
        <v/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/>
      </c>
    </row>
    <row r="11" spans="2:5" ht="32.1" customHeight="1" x14ac:dyDescent="0.25">
      <c r="B11" s="39">
        <v>2</v>
      </c>
      <c r="C11" s="23"/>
      <c r="D11" s="37" t="str">
        <f>IF(C11="","",IFERROR(INDEX(CALCULATIONS!$C$2:$C$22,MATCH(C11,CALCULATIONS!$A$2:$A$22,0)),""))</f>
        <v/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/>
      </c>
    </row>
    <row r="12" spans="2:5" ht="32.1" customHeight="1" x14ac:dyDescent="0.25">
      <c r="B12" s="39">
        <v>3</v>
      </c>
      <c r="C12" s="23"/>
      <c r="D12" s="37" t="str">
        <f>IF(C12="","",IFERROR(INDEX(CALCULATIONS!$C$2:$C$22,MATCH(C12,CALCULATIONS!$A$2:$A$22,0)),""))</f>
        <v/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/>
      </c>
    </row>
    <row r="13" spans="2:5" ht="32.1" customHeight="1" x14ac:dyDescent="0.25">
      <c r="B13" s="39">
        <v>4</v>
      </c>
      <c r="C13" s="23"/>
      <c r="D13" s="37" t="str">
        <f>IF(C13="","",IFERROR(INDEX(CALCULATIONS!$C$2:$C$22,MATCH(C13,CALCULATIONS!$A$2:$A$22,0)),""))</f>
        <v/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/>
      </c>
    </row>
    <row r="14" spans="2:5" ht="32.1" customHeight="1" x14ac:dyDescent="0.25">
      <c r="B14" s="39">
        <v>5</v>
      </c>
      <c r="C14" s="23"/>
      <c r="D14" s="37" t="str">
        <f>IF(C14="","",IFERROR(INDEX(CALCULATIONS!$C$2:$C$22,MATCH(C14,CALCULATIONS!$A$2:$A$22,0)),""))</f>
        <v/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/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0</v>
      </c>
    </row>
    <row r="18" spans="2:4" ht="30" customHeight="1" x14ac:dyDescent="0.25">
      <c r="B18" s="5" t="s">
        <v>16</v>
      </c>
      <c r="C18" s="40">
        <f>50-C17</f>
        <v>50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29" priority="1">
      <formula>C20="VALID TEAM"</formula>
    </cfRule>
    <cfRule type="expression" dxfId="28" priority="2">
      <formula>C20&lt;&gt;"VALID TEAM"</formula>
    </cfRule>
  </conditionalFormatting>
  <conditionalFormatting sqref="E10:E14">
    <cfRule type="expression" dxfId="27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500-000001000000}">
      <formula1>$C$10:$C$14</formula1>
    </dataValidation>
  </dataValidations>
  <hyperlinks>
    <hyperlink ref="B2" location="'PICK YOUR TEAM'!A1" display="← Back to PICK YOUR TEAM" xr:uid="{00000000-0004-0000-15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5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475569"/>
  </sheetPr>
  <dimension ref="B1:E24"/>
  <sheetViews>
    <sheetView showGridLines="0" zoomScale="90" workbookViewId="0">
      <selection activeCell="C11" sqref="C11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0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3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3</v>
      </c>
      <c r="D10" s="37">
        <f>IF(C10="","",IFERROR(INDEX(CALCULATIONS!$C$2:$C$22,MATCH(C10,CALCULATIONS!$A$2:$A$22,0)),""))</f>
        <v>11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10 (×2)</v>
      </c>
    </row>
    <row r="11" spans="2:5" ht="32.1" customHeight="1" x14ac:dyDescent="0.25">
      <c r="B11" s="39">
        <v>2</v>
      </c>
      <c r="C11" s="23" t="s">
        <v>10</v>
      </c>
      <c r="D11" s="37">
        <f>IF(C11="","",IFERROR(INDEX(CALCULATIONS!$C$2:$C$22,MATCH(C11,CALCULATIONS!$A$2:$A$22,0)),""))</f>
        <v>10.5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8</v>
      </c>
    </row>
    <row r="12" spans="2:5" ht="32.1" customHeight="1" x14ac:dyDescent="0.25">
      <c r="B12" s="39">
        <v>3</v>
      </c>
      <c r="C12" s="23" t="s">
        <v>11</v>
      </c>
      <c r="D12" s="37">
        <f>IF(C12="","",IFERROR(INDEX(CALCULATIONS!$C$2:$C$22,MATCH(C12,CALCULATIONS!$A$2:$A$22,0)),""))</f>
        <v>7.5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3</v>
      </c>
    </row>
    <row r="13" spans="2:5" ht="32.1" customHeight="1" x14ac:dyDescent="0.25">
      <c r="B13" s="39">
        <v>4</v>
      </c>
      <c r="C13" s="23" t="s">
        <v>12</v>
      </c>
      <c r="D13" s="37">
        <f>IF(C13="","",IFERROR(INDEX(CALCULATIONS!$C$2:$C$22,MATCH(C13,CALCULATIONS!$A$2:$A$22,0)),""))</f>
        <v>13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6</v>
      </c>
    </row>
    <row r="14" spans="2:5" ht="32.1" customHeight="1" x14ac:dyDescent="0.25">
      <c r="B14" s="39">
        <v>5</v>
      </c>
      <c r="C14" s="23" t="s">
        <v>13</v>
      </c>
      <c r="D14" s="37">
        <f>IF(C14="","",IFERROR(INDEX(CALCULATIONS!$C$2:$C$22,MATCH(C14,CALCULATIONS!$A$2:$A$22,0)),""))</f>
        <v>8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3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50</v>
      </c>
    </row>
    <row r="18" spans="2:4" ht="30" customHeight="1" x14ac:dyDescent="0.25">
      <c r="B18" s="5" t="s">
        <v>16</v>
      </c>
      <c r="C18" s="40">
        <f>50-C17</f>
        <v>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30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26" priority="1">
      <formula>C20="VALID TEAM"</formula>
    </cfRule>
    <cfRule type="expression" dxfId="25" priority="2">
      <formula>C20&lt;&gt;"VALID TEAM"</formula>
    </cfRule>
  </conditionalFormatting>
  <conditionalFormatting sqref="E10:E14">
    <cfRule type="expression" dxfId="24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600-000001000000}">
      <formula1>$C$10:$C$14</formula1>
    </dataValidation>
  </dataValidations>
  <hyperlinks>
    <hyperlink ref="B2" location="'PICK YOUR TEAM'!A1" display="← Back to PICK YOUR TEAM" xr:uid="{00000000-0004-0000-16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6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199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/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/>
      <c r="D10" s="37" t="str">
        <f>IF(C10="","",IFERROR(INDEX(CALCULATIONS!$C$2:$C$22,MATCH(C10,CALCULATIONS!$A$2:$A$22,0)),""))</f>
        <v/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/>
      </c>
    </row>
    <row r="11" spans="2:5" ht="32.1" customHeight="1" x14ac:dyDescent="0.25">
      <c r="B11" s="39">
        <v>2</v>
      </c>
      <c r="C11" s="23"/>
      <c r="D11" s="37" t="str">
        <f>IF(C11="","",IFERROR(INDEX(CALCULATIONS!$C$2:$C$22,MATCH(C11,CALCULATIONS!$A$2:$A$22,0)),""))</f>
        <v/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/>
      </c>
    </row>
    <row r="12" spans="2:5" ht="32.1" customHeight="1" x14ac:dyDescent="0.25">
      <c r="B12" s="39">
        <v>3</v>
      </c>
      <c r="C12" s="23"/>
      <c r="D12" s="37" t="str">
        <f>IF(C12="","",IFERROR(INDEX(CALCULATIONS!$C$2:$C$22,MATCH(C12,CALCULATIONS!$A$2:$A$22,0)),""))</f>
        <v/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/>
      </c>
    </row>
    <row r="13" spans="2:5" ht="32.1" customHeight="1" x14ac:dyDescent="0.25">
      <c r="B13" s="39">
        <v>4</v>
      </c>
      <c r="C13" s="23"/>
      <c r="D13" s="37" t="str">
        <f>IF(C13="","",IFERROR(INDEX(CALCULATIONS!$C$2:$C$22,MATCH(C13,CALCULATIONS!$A$2:$A$22,0)),""))</f>
        <v/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/>
      </c>
    </row>
    <row r="14" spans="2:5" ht="32.1" customHeight="1" x14ac:dyDescent="0.25">
      <c r="B14" s="39">
        <v>5</v>
      </c>
      <c r="C14" s="23"/>
      <c r="D14" s="37" t="str">
        <f>IF(C14="","",IFERROR(INDEX(CALCULATIONS!$C$2:$C$22,MATCH(C14,CALCULATIONS!$A$2:$A$22,0)),""))</f>
        <v/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/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0</v>
      </c>
    </row>
    <row r="18" spans="2:4" ht="30" customHeight="1" x14ac:dyDescent="0.25">
      <c r="B18" s="5" t="s">
        <v>16</v>
      </c>
      <c r="C18" s="40">
        <f>50-C17</f>
        <v>50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23" priority="1">
      <formula>C20="VALID TEAM"</formula>
    </cfRule>
    <cfRule type="expression" dxfId="22" priority="2">
      <formula>C20&lt;&gt;"VALID TEAM"</formula>
    </cfRule>
  </conditionalFormatting>
  <conditionalFormatting sqref="E10:E14">
    <cfRule type="expression" dxfId="21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700-000001000000}">
      <formula1>$C$10:$C$14</formula1>
    </dataValidation>
  </dataValidations>
  <hyperlinks>
    <hyperlink ref="B2" location="'PICK YOUR TEAM'!A1" display="← Back to PICK YOUR TEAM" xr:uid="{00000000-0004-0000-17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7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475569"/>
  </sheetPr>
  <dimension ref="B1:E24"/>
  <sheetViews>
    <sheetView showGridLines="0" topLeftCell="A8" zoomScale="90" workbookViewId="0">
      <selection activeCell="C11" sqref="C11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200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12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12</v>
      </c>
      <c r="D10" s="37">
        <f>IF(C10="","",IFERROR(INDEX(CALCULATIONS!$C$2:$C$22,MATCH(C10,CALCULATIONS!$A$2:$A$22,0)),""))</f>
        <v>13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12 (×2)</v>
      </c>
    </row>
    <row r="11" spans="2:5" ht="32.1" customHeight="1" x14ac:dyDescent="0.25">
      <c r="B11" s="39">
        <v>2</v>
      </c>
      <c r="C11" s="23" t="s">
        <v>87</v>
      </c>
      <c r="D11" s="37">
        <f>IF(C11="","",IFERROR(INDEX(CALCULATIONS!$C$2:$C$22,MATCH(C11,CALCULATIONS!$A$2:$A$22,0)),""))</f>
        <v>9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4</v>
      </c>
    </row>
    <row r="12" spans="2:5" ht="32.1" customHeight="1" x14ac:dyDescent="0.25">
      <c r="B12" s="39">
        <v>3</v>
      </c>
      <c r="C12" s="23" t="s">
        <v>93</v>
      </c>
      <c r="D12" s="37">
        <f>IF(C12="","",IFERROR(INDEX(CALCULATIONS!$C$2:$C$22,MATCH(C12,CALCULATIONS!$A$2:$A$22,0)),""))</f>
        <v>9.5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0</v>
      </c>
    </row>
    <row r="13" spans="2:5" ht="32.1" customHeight="1" x14ac:dyDescent="0.25">
      <c r="B13" s="39">
        <v>4</v>
      </c>
      <c r="C13" s="23" t="s">
        <v>10</v>
      </c>
      <c r="D13" s="37">
        <f>IF(C13="","",IFERROR(INDEX(CALCULATIONS!$C$2:$C$22,MATCH(C13,CALCULATIONS!$A$2:$A$22,0)),""))</f>
        <v>10.5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8</v>
      </c>
    </row>
    <row r="14" spans="2:5" ht="32.1" customHeight="1" x14ac:dyDescent="0.25">
      <c r="B14" s="39">
        <v>5</v>
      </c>
      <c r="C14" s="23" t="s">
        <v>96</v>
      </c>
      <c r="D14" s="37">
        <f>IF(C14="","",IFERROR(INDEX(CALCULATIONS!$C$2:$C$22,MATCH(C14,CALCULATIONS!$A$2:$A$22,0)),""))</f>
        <v>7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3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49</v>
      </c>
    </row>
    <row r="18" spans="2:4" ht="30" customHeight="1" x14ac:dyDescent="0.25">
      <c r="B18" s="5" t="s">
        <v>16</v>
      </c>
      <c r="C18" s="40">
        <f>50-C17</f>
        <v>1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27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20" priority="1">
      <formula>C20="VALID TEAM"</formula>
    </cfRule>
    <cfRule type="expression" dxfId="19" priority="2">
      <formula>C20&lt;&gt;"VALID TEAM"</formula>
    </cfRule>
  </conditionalFormatting>
  <conditionalFormatting sqref="E10:E14">
    <cfRule type="expression" dxfId="18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800-000001000000}">
      <formula1>$C$10:$C$14</formula1>
    </dataValidation>
  </dataValidations>
  <hyperlinks>
    <hyperlink ref="B2" location="'PICK YOUR TEAM'!A1" display="← Back to PICK YOUR TEAM" xr:uid="{00000000-0004-0000-18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8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201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/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/>
      <c r="D10" s="37" t="str">
        <f>IF(C10="","",IFERROR(INDEX(CALCULATIONS!$C$2:$C$22,MATCH(C10,CALCULATIONS!$A$2:$A$22,0)),""))</f>
        <v/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/>
      </c>
    </row>
    <row r="11" spans="2:5" ht="32.1" customHeight="1" x14ac:dyDescent="0.25">
      <c r="B11" s="39">
        <v>2</v>
      </c>
      <c r="C11" s="23"/>
      <c r="D11" s="37" t="str">
        <f>IF(C11="","",IFERROR(INDEX(CALCULATIONS!$C$2:$C$22,MATCH(C11,CALCULATIONS!$A$2:$A$22,0)),""))</f>
        <v/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/>
      </c>
    </row>
    <row r="12" spans="2:5" ht="32.1" customHeight="1" x14ac:dyDescent="0.25">
      <c r="B12" s="39">
        <v>3</v>
      </c>
      <c r="C12" s="23"/>
      <c r="D12" s="37" t="str">
        <f>IF(C12="","",IFERROR(INDEX(CALCULATIONS!$C$2:$C$22,MATCH(C12,CALCULATIONS!$A$2:$A$22,0)),""))</f>
        <v/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/>
      </c>
    </row>
    <row r="13" spans="2:5" ht="32.1" customHeight="1" x14ac:dyDescent="0.25">
      <c r="B13" s="39">
        <v>4</v>
      </c>
      <c r="C13" s="23"/>
      <c r="D13" s="37" t="str">
        <f>IF(C13="","",IFERROR(INDEX(CALCULATIONS!$C$2:$C$22,MATCH(C13,CALCULATIONS!$A$2:$A$22,0)),""))</f>
        <v/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/>
      </c>
    </row>
    <row r="14" spans="2:5" ht="32.1" customHeight="1" x14ac:dyDescent="0.25">
      <c r="B14" s="39">
        <v>5</v>
      </c>
      <c r="C14" s="23"/>
      <c r="D14" s="37" t="str">
        <f>IF(C14="","",IFERROR(INDEX(CALCULATIONS!$C$2:$C$22,MATCH(C14,CALCULATIONS!$A$2:$A$22,0)),""))</f>
        <v/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/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0</v>
      </c>
    </row>
    <row r="18" spans="2:4" ht="30" customHeight="1" x14ac:dyDescent="0.25">
      <c r="B18" s="5" t="s">
        <v>16</v>
      </c>
      <c r="C18" s="40">
        <f>50-C17</f>
        <v>50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17" priority="1">
      <formula>C20="VALID TEAM"</formula>
    </cfRule>
    <cfRule type="expression" dxfId="16" priority="2">
      <formula>C20&lt;&gt;"VALID TEAM"</formula>
    </cfRule>
  </conditionalFormatting>
  <conditionalFormatting sqref="E10:E14">
    <cfRule type="expression" dxfId="15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900-000001000000}">
      <formula1>$C$10:$C$14</formula1>
    </dataValidation>
  </dataValidations>
  <hyperlinks>
    <hyperlink ref="B2" location="'PICK YOUR TEAM'!A1" display="← Back to PICK YOUR TEAM" xr:uid="{00000000-0004-0000-19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9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202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10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13</v>
      </c>
      <c r="D10" s="37">
        <f>IF(C10="","",IFERROR(INDEX(CALCULATIONS!$C$2:$C$22,MATCH(C10,CALCULATIONS!$A$2:$A$22,0)),""))</f>
        <v>8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3</v>
      </c>
    </row>
    <row r="11" spans="2:5" ht="32.1" customHeight="1" x14ac:dyDescent="0.25">
      <c r="B11" s="39">
        <v>2</v>
      </c>
      <c r="C11" s="23" t="s">
        <v>3</v>
      </c>
      <c r="D11" s="37">
        <f>IF(C11="","",IFERROR(INDEX(CALCULATIONS!$C$2:$C$22,MATCH(C11,CALCULATIONS!$A$2:$A$22,0)),""))</f>
        <v>11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5</v>
      </c>
    </row>
    <row r="12" spans="2:5" ht="32.1" customHeight="1" x14ac:dyDescent="0.25">
      <c r="B12" s="39">
        <v>3</v>
      </c>
      <c r="C12" s="23" t="s">
        <v>92</v>
      </c>
      <c r="D12" s="37">
        <f>IF(C12="","",IFERROR(INDEX(CALCULATIONS!$C$2:$C$22,MATCH(C12,CALCULATIONS!$A$2:$A$22,0)),""))</f>
        <v>10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7</v>
      </c>
    </row>
    <row r="13" spans="2:5" ht="32.1" customHeight="1" x14ac:dyDescent="0.25">
      <c r="B13" s="39">
        <v>4</v>
      </c>
      <c r="C13" s="23" t="s">
        <v>86</v>
      </c>
      <c r="D13" s="37">
        <f>IF(C13="","",IFERROR(INDEX(CALCULATIONS!$C$2:$C$22,MATCH(C13,CALCULATIONS!$A$2:$A$22,0)),""))</f>
        <v>10.5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5</v>
      </c>
    </row>
    <row r="14" spans="2:5" ht="32.1" customHeight="1" x14ac:dyDescent="0.25">
      <c r="B14" s="39">
        <v>5</v>
      </c>
      <c r="C14" s="23" t="s">
        <v>10</v>
      </c>
      <c r="D14" s="37">
        <f>IF(C14="","",IFERROR(INDEX(CALCULATIONS!$C$2:$C$22,MATCH(C14,CALCULATIONS!$A$2:$A$22,0)),""))</f>
        <v>10.5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16 (×2)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50</v>
      </c>
    </row>
    <row r="18" spans="2:4" ht="30" customHeight="1" x14ac:dyDescent="0.25">
      <c r="B18" s="5" t="s">
        <v>16</v>
      </c>
      <c r="C18" s="40">
        <f>50-C17</f>
        <v>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36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14" priority="1">
      <formula>C20="VALID TEAM"</formula>
    </cfRule>
    <cfRule type="expression" dxfId="13" priority="2">
      <formula>C20&lt;&gt;"VALID TEAM"</formula>
    </cfRule>
  </conditionalFormatting>
  <conditionalFormatting sqref="E10:E14">
    <cfRule type="expression" dxfId="12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A00-000001000000}">
      <formula1>$C$10:$C$14</formula1>
    </dataValidation>
  </dataValidations>
  <hyperlinks>
    <hyperlink ref="B2" location="'PICK YOUR TEAM'!A1" display="← Back to PICK YOUR TEAM" xr:uid="{00000000-0004-0000-1A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A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203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/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/>
      <c r="D10" s="37" t="str">
        <f>IF(C10="","",IFERROR(INDEX(CALCULATIONS!$C$2:$C$22,MATCH(C10,CALCULATIONS!$A$2:$A$22,0)),""))</f>
        <v/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/>
      </c>
    </row>
    <row r="11" spans="2:5" ht="32.1" customHeight="1" x14ac:dyDescent="0.25">
      <c r="B11" s="39">
        <v>2</v>
      </c>
      <c r="C11" s="23"/>
      <c r="D11" s="37" t="str">
        <f>IF(C11="","",IFERROR(INDEX(CALCULATIONS!$C$2:$C$22,MATCH(C11,CALCULATIONS!$A$2:$A$22,0)),""))</f>
        <v/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/>
      </c>
    </row>
    <row r="12" spans="2:5" ht="32.1" customHeight="1" x14ac:dyDescent="0.25">
      <c r="B12" s="39">
        <v>3</v>
      </c>
      <c r="C12" s="23"/>
      <c r="D12" s="37" t="str">
        <f>IF(C12="","",IFERROR(INDEX(CALCULATIONS!$C$2:$C$22,MATCH(C12,CALCULATIONS!$A$2:$A$22,0)),""))</f>
        <v/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/>
      </c>
    </row>
    <row r="13" spans="2:5" ht="32.1" customHeight="1" x14ac:dyDescent="0.25">
      <c r="B13" s="39">
        <v>4</v>
      </c>
      <c r="C13" s="23"/>
      <c r="D13" s="37" t="str">
        <f>IF(C13="","",IFERROR(INDEX(CALCULATIONS!$C$2:$C$22,MATCH(C13,CALCULATIONS!$A$2:$A$22,0)),""))</f>
        <v/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/>
      </c>
    </row>
    <row r="14" spans="2:5" ht="32.1" customHeight="1" x14ac:dyDescent="0.25">
      <c r="B14" s="39">
        <v>5</v>
      </c>
      <c r="C14" s="23"/>
      <c r="D14" s="37" t="str">
        <f>IF(C14="","",IFERROR(INDEX(CALCULATIONS!$C$2:$C$22,MATCH(C14,CALCULATIONS!$A$2:$A$22,0)),""))</f>
        <v/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/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0</v>
      </c>
    </row>
    <row r="18" spans="2:4" ht="30" customHeight="1" x14ac:dyDescent="0.25">
      <c r="B18" s="5" t="s">
        <v>16</v>
      </c>
      <c r="C18" s="40">
        <f>50-C17</f>
        <v>50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11" priority="1">
      <formula>C20="VALID TEAM"</formula>
    </cfRule>
    <cfRule type="expression" dxfId="10" priority="2">
      <formula>C20&lt;&gt;"VALID TEAM"</formula>
    </cfRule>
  </conditionalFormatting>
  <conditionalFormatting sqref="E10:E14">
    <cfRule type="expression" dxfId="9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B00-000001000000}">
      <formula1>$C$10:$C$14</formula1>
    </dataValidation>
  </dataValidations>
  <hyperlinks>
    <hyperlink ref="B2" location="'PICK YOUR TEAM'!A1" display="← Back to PICK YOUR TEAM" xr:uid="{00000000-0004-0000-1B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B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475569"/>
  </sheetPr>
  <dimension ref="B1:E24"/>
  <sheetViews>
    <sheetView showGridLines="0" topLeftCell="A2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204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12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86</v>
      </c>
      <c r="D10" s="37">
        <f>IF(C10="","",IFERROR(INDEX(CALCULATIONS!$C$2:$C$22,MATCH(C10,CALCULATIONS!$A$2:$A$22,0)),""))</f>
        <v>10.5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5</v>
      </c>
    </row>
    <row r="11" spans="2:5" ht="32.1" customHeight="1" x14ac:dyDescent="0.25">
      <c r="B11" s="39">
        <v>2</v>
      </c>
      <c r="C11" s="23" t="s">
        <v>83</v>
      </c>
      <c r="D11" s="37">
        <f>IF(C11="","",IFERROR(INDEX(CALCULATIONS!$C$2:$C$22,MATCH(C11,CALCULATIONS!$A$2:$A$22,0)),""))</f>
        <v>7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3</v>
      </c>
    </row>
    <row r="12" spans="2:5" ht="32.1" customHeight="1" x14ac:dyDescent="0.25">
      <c r="B12" s="39">
        <v>3</v>
      </c>
      <c r="C12" s="23" t="s">
        <v>82</v>
      </c>
      <c r="D12" s="37">
        <f>IF(C12="","",IFERROR(INDEX(CALCULATIONS!$C$2:$C$22,MATCH(C12,CALCULATIONS!$A$2:$A$22,0)),""))</f>
        <v>10.5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6</v>
      </c>
    </row>
    <row r="13" spans="2:5" ht="32.1" customHeight="1" x14ac:dyDescent="0.25">
      <c r="B13" s="39">
        <v>4</v>
      </c>
      <c r="C13" s="23" t="s">
        <v>87</v>
      </c>
      <c r="D13" s="37">
        <f>IF(C13="","",IFERROR(INDEX(CALCULATIONS!$C$2:$C$22,MATCH(C13,CALCULATIONS!$A$2:$A$22,0)),""))</f>
        <v>9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4</v>
      </c>
    </row>
    <row r="14" spans="2:5" ht="32.1" customHeight="1" x14ac:dyDescent="0.25">
      <c r="B14" s="39">
        <v>5</v>
      </c>
      <c r="C14" s="23" t="s">
        <v>12</v>
      </c>
      <c r="D14" s="37">
        <f>IF(C14="","",IFERROR(INDEX(CALCULATIONS!$C$2:$C$22,MATCH(C14,CALCULATIONS!$A$2:$A$22,0)),""))</f>
        <v>13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12 (×2)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50</v>
      </c>
    </row>
    <row r="18" spans="2:4" ht="30" customHeight="1" x14ac:dyDescent="0.25">
      <c r="B18" s="5" t="s">
        <v>16</v>
      </c>
      <c r="C18" s="40">
        <f>50-C17</f>
        <v>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30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8" priority="1">
      <formula>C20="VALID TEAM"</formula>
    </cfRule>
    <cfRule type="expression" dxfId="7" priority="2">
      <formula>C20&lt;&gt;"VALID TEAM"</formula>
    </cfRule>
  </conditionalFormatting>
  <conditionalFormatting sqref="E10:E14">
    <cfRule type="expression" dxfId="6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C00-000001000000}">
      <formula1>$C$10:$C$14</formula1>
    </dataValidation>
  </dataValidations>
  <hyperlinks>
    <hyperlink ref="B2" location="'PICK YOUR TEAM'!A1" display="← Back to PICK YOUR TEAM" xr:uid="{00000000-0004-0000-1C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C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205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/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/>
      <c r="D10" s="37" t="str">
        <f>IF(C10="","",IFERROR(INDEX(CALCULATIONS!$C$2:$C$22,MATCH(C10,CALCULATIONS!$A$2:$A$22,0)),""))</f>
        <v/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/>
      </c>
    </row>
    <row r="11" spans="2:5" ht="32.1" customHeight="1" x14ac:dyDescent="0.25">
      <c r="B11" s="39">
        <v>2</v>
      </c>
      <c r="C11" s="23"/>
      <c r="D11" s="37" t="str">
        <f>IF(C11="","",IFERROR(INDEX(CALCULATIONS!$C$2:$C$22,MATCH(C11,CALCULATIONS!$A$2:$A$22,0)),""))</f>
        <v/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/>
      </c>
    </row>
    <row r="12" spans="2:5" ht="32.1" customHeight="1" x14ac:dyDescent="0.25">
      <c r="B12" s="39">
        <v>3</v>
      </c>
      <c r="C12" s="23"/>
      <c r="D12" s="37" t="str">
        <f>IF(C12="","",IFERROR(INDEX(CALCULATIONS!$C$2:$C$22,MATCH(C12,CALCULATIONS!$A$2:$A$22,0)),""))</f>
        <v/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/>
      </c>
    </row>
    <row r="13" spans="2:5" ht="32.1" customHeight="1" x14ac:dyDescent="0.25">
      <c r="B13" s="39">
        <v>4</v>
      </c>
      <c r="C13" s="23"/>
      <c r="D13" s="37" t="str">
        <f>IF(C13="","",IFERROR(INDEX(CALCULATIONS!$C$2:$C$22,MATCH(C13,CALCULATIONS!$A$2:$A$22,0)),""))</f>
        <v/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/>
      </c>
    </row>
    <row r="14" spans="2:5" ht="32.1" customHeight="1" x14ac:dyDescent="0.25">
      <c r="B14" s="39">
        <v>5</v>
      </c>
      <c r="C14" s="23"/>
      <c r="D14" s="37" t="str">
        <f>IF(C14="","",IFERROR(INDEX(CALCULATIONS!$C$2:$C$22,MATCH(C14,CALCULATIONS!$A$2:$A$22,0)),""))</f>
        <v/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/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0</v>
      </c>
    </row>
    <row r="18" spans="2:4" ht="30" customHeight="1" x14ac:dyDescent="0.25">
      <c r="B18" s="5" t="s">
        <v>16</v>
      </c>
      <c r="C18" s="40">
        <f>50-C17</f>
        <v>50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0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5" priority="1">
      <formula>C20="VALID TEAM"</formula>
    </cfRule>
    <cfRule type="expression" dxfId="4" priority="2">
      <formula>C20&lt;&gt;"VALID TEAM"</formula>
    </cfRule>
  </conditionalFormatting>
  <conditionalFormatting sqref="E10:E14">
    <cfRule type="expression" dxfId="3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D00-000001000000}">
      <formula1>$C$10:$C$14</formula1>
    </dataValidation>
  </dataValidations>
  <hyperlinks>
    <hyperlink ref="B2" location="'PICK YOUR TEAM'!A1" display="← Back to PICK YOUR TEAM" xr:uid="{00000000-0004-0000-1D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D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475569"/>
  </sheetPr>
  <dimension ref="B1:E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5" width="12" customWidth="1"/>
  </cols>
  <sheetData>
    <row r="1" spans="2:5" ht="51.95" customHeight="1" x14ac:dyDescent="0.25">
      <c r="B1" s="57" t="s">
        <v>206</v>
      </c>
      <c r="C1" s="58"/>
      <c r="D1" s="58"/>
    </row>
    <row r="2" spans="2:5" ht="30" customHeight="1" x14ac:dyDescent="0.25">
      <c r="B2" s="83" t="s">
        <v>1</v>
      </c>
      <c r="C2" s="58"/>
      <c r="D2" s="58"/>
    </row>
    <row r="3" spans="2:5" ht="12" customHeight="1" x14ac:dyDescent="0.25"/>
    <row r="4" spans="2:5" ht="32.1" customHeight="1" x14ac:dyDescent="0.25">
      <c r="B4" s="76" t="s">
        <v>2</v>
      </c>
      <c r="C4" s="58"/>
      <c r="D4" s="58"/>
    </row>
    <row r="5" spans="2:5" ht="33.950000000000003" customHeight="1" x14ac:dyDescent="0.25">
      <c r="C5" s="38" t="s">
        <v>12</v>
      </c>
    </row>
    <row r="6" spans="2:5" ht="24" customHeight="1" x14ac:dyDescent="0.25">
      <c r="B6" s="69" t="s">
        <v>4</v>
      </c>
      <c r="C6" s="58"/>
      <c r="D6" s="58"/>
    </row>
    <row r="7" spans="2:5" ht="12" customHeight="1" x14ac:dyDescent="0.25"/>
    <row r="8" spans="2:5" ht="32.1" customHeight="1" x14ac:dyDescent="0.25">
      <c r="B8" s="76" t="s">
        <v>5</v>
      </c>
      <c r="C8" s="58"/>
      <c r="D8" s="58"/>
      <c r="E8" s="58"/>
    </row>
    <row r="9" spans="2:5" ht="32.1" customHeight="1" x14ac:dyDescent="0.25">
      <c r="B9" s="7" t="s">
        <v>6</v>
      </c>
      <c r="C9" s="7" t="s">
        <v>7</v>
      </c>
      <c r="D9" s="7" t="s">
        <v>8</v>
      </c>
      <c r="E9" s="7" t="s">
        <v>9</v>
      </c>
    </row>
    <row r="10" spans="2:5" ht="32.1" customHeight="1" x14ac:dyDescent="0.25">
      <c r="B10" s="39">
        <v>1</v>
      </c>
      <c r="C10" s="23" t="s">
        <v>12</v>
      </c>
      <c r="D10" s="37">
        <f>IF(C10="","",IFERROR(INDEX(CALCULATIONS!$C$2:$C$22,MATCH(C10,CALCULATIONS!$A$2:$A$22,0)),""))</f>
        <v>13</v>
      </c>
      <c r="E10" s="25" t="str">
        <f>IF(C10="","",IF(C10=$C$5,TEXT(IFERROR(INDEX(CALCULATIONS!$D$2:$D$22,MATCH(C10,CALCULATIONS!$A$2:$A$22,0)),0)*SETTINGS!$C$18,"0")&amp;" (×"&amp;SETTINGS!$C$18&amp;")",TEXT(IFERROR(INDEX(CALCULATIONS!$D$2:$D$22,MATCH(C10,CALCULATIONS!$A$2:$A$22,0)),0),"0")))</f>
        <v>12 (×2)</v>
      </c>
    </row>
    <row r="11" spans="2:5" ht="32.1" customHeight="1" x14ac:dyDescent="0.25">
      <c r="B11" s="39">
        <v>2</v>
      </c>
      <c r="C11" s="23" t="s">
        <v>86</v>
      </c>
      <c r="D11" s="37">
        <f>IF(C11="","",IFERROR(INDEX(CALCULATIONS!$C$2:$C$22,MATCH(C11,CALCULATIONS!$A$2:$A$22,0)),""))</f>
        <v>10.5</v>
      </c>
      <c r="E11" s="25" t="str">
        <f>IF(C11="","",IF(C11=$C$5,TEXT(IFERROR(INDEX(CALCULATIONS!$D$2:$D$22,MATCH(C11,CALCULATIONS!$A$2:$A$22,0)),0)*SETTINGS!$C$18,"0")&amp;" (×"&amp;SETTINGS!$C$18&amp;")",TEXT(IFERROR(INDEX(CALCULATIONS!$D$2:$D$22,MATCH(C11,CALCULATIONS!$A$2:$A$22,0)),0),"0")))</f>
        <v>5</v>
      </c>
    </row>
    <row r="12" spans="2:5" ht="32.1" customHeight="1" x14ac:dyDescent="0.25">
      <c r="B12" s="39">
        <v>3</v>
      </c>
      <c r="C12" s="23" t="s">
        <v>83</v>
      </c>
      <c r="D12" s="37">
        <f>IF(C12="","",IFERROR(INDEX(CALCULATIONS!$C$2:$C$22,MATCH(C12,CALCULATIONS!$A$2:$A$22,0)),""))</f>
        <v>7</v>
      </c>
      <c r="E12" s="25" t="str">
        <f>IF(C12="","",IF(C12=$C$5,TEXT(IFERROR(INDEX(CALCULATIONS!$D$2:$D$22,MATCH(C12,CALCULATIONS!$A$2:$A$22,0)),0)*SETTINGS!$C$18,"0")&amp;" (×"&amp;SETTINGS!$C$18&amp;")",TEXT(IFERROR(INDEX(CALCULATIONS!$D$2:$D$22,MATCH(C12,CALCULATIONS!$A$2:$A$22,0)),0),"0")))</f>
        <v>3</v>
      </c>
    </row>
    <row r="13" spans="2:5" ht="32.1" customHeight="1" x14ac:dyDescent="0.25">
      <c r="B13" s="39">
        <v>4</v>
      </c>
      <c r="C13" s="23" t="s">
        <v>10</v>
      </c>
      <c r="D13" s="37">
        <f>IF(C13="","",IFERROR(INDEX(CALCULATIONS!$C$2:$C$22,MATCH(C13,CALCULATIONS!$A$2:$A$22,0)),""))</f>
        <v>10.5</v>
      </c>
      <c r="E13" s="25" t="str">
        <f>IF(C13="","",IF(C13=$C$5,TEXT(IFERROR(INDEX(CALCULATIONS!$D$2:$D$22,MATCH(C13,CALCULATIONS!$A$2:$A$22,0)),0)*SETTINGS!$C$18,"0")&amp;" (×"&amp;SETTINGS!$C$18&amp;")",TEXT(IFERROR(INDEX(CALCULATIONS!$D$2:$D$22,MATCH(C13,CALCULATIONS!$A$2:$A$22,0)),0),"0")))</f>
        <v>8</v>
      </c>
    </row>
    <row r="14" spans="2:5" ht="32.1" customHeight="1" x14ac:dyDescent="0.25">
      <c r="B14" s="39">
        <v>5</v>
      </c>
      <c r="C14" s="23" t="s">
        <v>91</v>
      </c>
      <c r="D14" s="37">
        <f>IF(C14="","",IFERROR(INDEX(CALCULATIONS!$C$2:$C$22,MATCH(C14,CALCULATIONS!$A$2:$A$22,0)),""))</f>
        <v>8.5</v>
      </c>
      <c r="E14" s="25" t="str">
        <f>IF(C14="","",IF(C14=$C$5,TEXT(IFERROR(INDEX(CALCULATIONS!$D$2:$D$22,MATCH(C14,CALCULATIONS!$A$2:$A$22,0)),0)*SETTINGS!$C$18,"0")&amp;" (×"&amp;SETTINGS!$C$18&amp;")",TEXT(IFERROR(INDEX(CALCULATIONS!$D$2:$D$22,MATCH(C14,CALCULATIONS!$A$2:$A$22,0)),0),"0")))</f>
        <v>6</v>
      </c>
    </row>
    <row r="15" spans="2:5" ht="12" customHeight="1" x14ac:dyDescent="0.25"/>
    <row r="16" spans="2:5" ht="32.1" customHeight="1" x14ac:dyDescent="0.25">
      <c r="B16" s="76" t="s">
        <v>14</v>
      </c>
      <c r="C16" s="58"/>
      <c r="D16" s="58"/>
    </row>
    <row r="17" spans="2:4" ht="30" customHeight="1" x14ac:dyDescent="0.25">
      <c r="B17" s="5" t="s">
        <v>15</v>
      </c>
      <c r="C17" s="40">
        <f>SUM(D10:D14)</f>
        <v>49.5</v>
      </c>
    </row>
    <row r="18" spans="2:4" ht="30" customHeight="1" x14ac:dyDescent="0.25">
      <c r="B18" s="5" t="s">
        <v>16</v>
      </c>
      <c r="C18" s="40">
        <f>50-C17</f>
        <v>0.5</v>
      </c>
    </row>
    <row r="19" spans="2:4" ht="30" customHeight="1" x14ac:dyDescent="0.25">
      <c r="B19" s="5" t="s">
        <v>17</v>
      </c>
      <c r="C19" s="41">
        <f>IF($C$20="VALID TEAM",SUMPRODUCT(SUMIF(CALCULATIONS!$A$2:$A$22,C10:C14,CALCULATIONS!$D$2:$D$22))+SUMIF(CALCULATIONS!$A$2:$A$22,C5,CALCULATIONS!$D$2:$D$22)*(SETTINGS!$C$18-1),0)</f>
        <v>34</v>
      </c>
    </row>
    <row r="20" spans="2:4" ht="30" customHeight="1" x14ac:dyDescent="0.25">
      <c r="B20" s="5" t="s">
        <v>18</v>
      </c>
      <c r="C20" s="42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82" t="s">
        <v>19</v>
      </c>
      <c r="C22" s="62"/>
      <c r="D22" s="63"/>
    </row>
    <row r="23" spans="2:4" x14ac:dyDescent="0.25">
      <c r="B23" s="64"/>
      <c r="C23" s="58"/>
      <c r="D23" s="65"/>
    </row>
    <row r="24" spans="2:4" x14ac:dyDescent="0.25">
      <c r="B24" s="66"/>
      <c r="C24" s="67"/>
      <c r="D24" s="68"/>
    </row>
  </sheetData>
  <mergeCells count="7">
    <mergeCell ref="B8:E8"/>
    <mergeCell ref="B22:D24"/>
    <mergeCell ref="B1:D1"/>
    <mergeCell ref="B4:D4"/>
    <mergeCell ref="B16:D16"/>
    <mergeCell ref="B6:D6"/>
    <mergeCell ref="B2:D2"/>
  </mergeCells>
  <conditionalFormatting sqref="C20">
    <cfRule type="expression" dxfId="2" priority="1">
      <formula>C20="VALID TEAM"</formula>
    </cfRule>
    <cfRule type="expression" dxfId="1" priority="2">
      <formula>C20&lt;&gt;"VALID TEAM"</formula>
    </cfRule>
  </conditionalFormatting>
  <conditionalFormatting sqref="E10:E14">
    <cfRule type="expression" dxfId="0" priority="3">
      <formula>$C10=$C$5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E00-000001000000}">
      <formula1>$C$10:$C$14</formula1>
    </dataValidation>
  </dataValidations>
  <hyperlinks>
    <hyperlink ref="B2" location="'PICK YOUR TEAM'!A1" display="← Back to PICK YOUR TEAM" xr:uid="{00000000-0004-0000-1E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E00-000000000000}">
          <x14:formula1>
            <xm:f>SETTINGS!$H$23:$H$43</xm:f>
          </x14:formula1>
          <xm:sqref>C10:C14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H22"/>
  <sheetViews>
    <sheetView workbookViewId="0"/>
  </sheetViews>
  <sheetFormatPr defaultRowHeight="15" x14ac:dyDescent="0.25"/>
  <sheetData>
    <row r="1" spans="2:8" ht="32.1" customHeight="1" x14ac:dyDescent="0.25">
      <c r="B1" s="46" t="s">
        <v>80</v>
      </c>
      <c r="C1" s="46" t="s">
        <v>179</v>
      </c>
      <c r="D1" s="46" t="s">
        <v>180</v>
      </c>
      <c r="E1" s="46" t="s">
        <v>181</v>
      </c>
      <c r="F1" s="46" t="s">
        <v>182</v>
      </c>
      <c r="G1" s="46" t="s">
        <v>183</v>
      </c>
      <c r="H1" s="46" t="s">
        <v>184</v>
      </c>
    </row>
    <row r="2" spans="2:8" ht="26.1" customHeight="1" x14ac:dyDescent="0.25">
      <c r="B2" s="48" t="s">
        <v>81</v>
      </c>
      <c r="C2" s="49" t="str">
        <f>'Alexa Amesimeku'!C10</f>
        <v>Sophie Barker</v>
      </c>
      <c r="D2" s="49" t="str">
        <f>'Alexa Amesimeku'!C11</f>
        <v>Joe Paige</v>
      </c>
      <c r="E2" s="49" t="str">
        <f>'Alexa Amesimeku'!C12</f>
        <v>Alexa Amesimeku</v>
      </c>
      <c r="F2" s="49" t="str">
        <f>'Alexa Amesimeku'!C13</f>
        <v>Nina De Saram</v>
      </c>
      <c r="G2" s="49" t="str">
        <f>'Alexa Amesimeku'!C14</f>
        <v>Xander Meijer</v>
      </c>
      <c r="H2" s="49" t="str">
        <f>'Alexa Amesimeku'!C5</f>
        <v>Sophie Barker</v>
      </c>
    </row>
    <row r="3" spans="2:8" ht="26.1" customHeight="1" x14ac:dyDescent="0.25">
      <c r="B3" s="48" t="s">
        <v>11</v>
      </c>
      <c r="C3" s="47" t="str">
        <f>'Alfie Foley'!C10</f>
        <v>Ava Swinfen</v>
      </c>
      <c r="D3" s="47" t="str">
        <f>'Alfie Foley'!C11</f>
        <v>David Wu</v>
      </c>
      <c r="E3" s="47" t="str">
        <f>'Alfie Foley'!C12</f>
        <v>Alyza Rai</v>
      </c>
      <c r="F3" s="47" t="str">
        <f>'Alfie Foley'!C13</f>
        <v>Sophie Barker</v>
      </c>
      <c r="G3" s="47" t="str">
        <f>'Alfie Foley'!C14</f>
        <v>Edwin Mayers</v>
      </c>
      <c r="H3" s="47" t="str">
        <f>'Alfie Foley'!C5</f>
        <v>Sophie Barker</v>
      </c>
    </row>
    <row r="4" spans="2:8" ht="26.1" customHeight="1" x14ac:dyDescent="0.25">
      <c r="B4" s="48" t="s">
        <v>82</v>
      </c>
      <c r="C4" s="49">
        <f>'Alyza Rai'!C10</f>
        <v>0</v>
      </c>
      <c r="D4" s="49">
        <f>'Alyza Rai'!C11</f>
        <v>0</v>
      </c>
      <c r="E4" s="49">
        <f>'Alyza Rai'!C12</f>
        <v>0</v>
      </c>
      <c r="F4" s="49">
        <f>'Alyza Rai'!C13</f>
        <v>0</v>
      </c>
      <c r="G4" s="49">
        <f>'Alyza Rai'!C14</f>
        <v>0</v>
      </c>
      <c r="H4" s="49">
        <f>'Alyza Rai'!C5</f>
        <v>0</v>
      </c>
    </row>
    <row r="5" spans="2:8" ht="26.1" customHeight="1" x14ac:dyDescent="0.25">
      <c r="B5" s="48" t="s">
        <v>83</v>
      </c>
      <c r="C5" s="47" t="str">
        <f>'Ava Swinfen'!C10</f>
        <v>Ava Swinfen</v>
      </c>
      <c r="D5" s="47" t="str">
        <f>'Ava Swinfen'!C11</f>
        <v>Melody Zhaeentan</v>
      </c>
      <c r="E5" s="47" t="str">
        <f>'Ava Swinfen'!C12</f>
        <v>Lia Li</v>
      </c>
      <c r="F5" s="47" t="str">
        <f>'Ava Swinfen'!C13</f>
        <v>Chinedu Chile</v>
      </c>
      <c r="G5" s="47" t="str">
        <f>'Ava Swinfen'!C14</f>
        <v>David Wu</v>
      </c>
      <c r="H5" s="47" t="str">
        <f>'Ava Swinfen'!C5</f>
        <v>Lia Li</v>
      </c>
    </row>
    <row r="6" spans="2:8" ht="26.1" customHeight="1" x14ac:dyDescent="0.25">
      <c r="B6" s="48" t="s">
        <v>84</v>
      </c>
      <c r="C6" s="49" t="str">
        <f>'Azlan Husain'!C10</f>
        <v>Emily Warburton</v>
      </c>
      <c r="D6" s="49" t="str">
        <f>'Azlan Husain'!C11</f>
        <v>Chinedu Chile</v>
      </c>
      <c r="E6" s="49" t="str">
        <f>'Azlan Husain'!C12</f>
        <v>Joe Paige</v>
      </c>
      <c r="F6" s="49" t="str">
        <f>'Azlan Husain'!C13</f>
        <v>Alfie Foley</v>
      </c>
      <c r="G6" s="49" t="str">
        <f>'Azlan Husain'!C14</f>
        <v>Edwin Mayers</v>
      </c>
      <c r="H6" s="49" t="str">
        <f>'Azlan Husain'!C5</f>
        <v>Emily Warburton</v>
      </c>
    </row>
    <row r="7" spans="2:8" ht="26.1" customHeight="1" x14ac:dyDescent="0.25">
      <c r="B7" s="48" t="s">
        <v>3</v>
      </c>
      <c r="C7" s="47" t="str">
        <f>'Chinedu Chile'!C10</f>
        <v>Chinedu Chile</v>
      </c>
      <c r="D7" s="47" t="str">
        <f>'Chinedu Chile'!C11</f>
        <v>Alexa Amesimeku</v>
      </c>
      <c r="E7" s="47" t="str">
        <f>'Chinedu Chile'!C12</f>
        <v>David Wu</v>
      </c>
      <c r="F7" s="47" t="str">
        <f>'Chinedu Chile'!C13</f>
        <v>Edwin Mayers</v>
      </c>
      <c r="G7" s="47" t="str">
        <f>'Chinedu Chile'!C14</f>
        <v>Azlan Husain</v>
      </c>
      <c r="H7" s="47" t="str">
        <f>'Chinedu Chile'!C5</f>
        <v>Chinedu Chile</v>
      </c>
    </row>
    <row r="8" spans="2:8" ht="26.1" customHeight="1" x14ac:dyDescent="0.25">
      <c r="B8" s="48" t="s">
        <v>85</v>
      </c>
      <c r="C8" s="49" t="str">
        <f>'Daniel Liu'!C10</f>
        <v>Alyza Rai</v>
      </c>
      <c r="D8" s="49" t="str">
        <f>'Daniel Liu'!C11</f>
        <v>Ava Swinfen</v>
      </c>
      <c r="E8" s="49">
        <f>'Daniel Liu'!C12</f>
        <v>0</v>
      </c>
      <c r="F8" s="49" t="str">
        <f>'Daniel Liu'!C13</f>
        <v>David Wu</v>
      </c>
      <c r="G8" s="49" t="str">
        <f>'Daniel Liu'!C14</f>
        <v>Chinedu Chile</v>
      </c>
      <c r="H8" s="49">
        <f>'Daniel Liu'!C5</f>
        <v>0</v>
      </c>
    </row>
    <row r="9" spans="2:8" ht="26.1" customHeight="1" x14ac:dyDescent="0.25">
      <c r="B9" s="48" t="s">
        <v>86</v>
      </c>
      <c r="C9" s="47" t="str">
        <f>'David Wu'!C10</f>
        <v>Azlan Husain</v>
      </c>
      <c r="D9" s="47" t="str">
        <f>'David Wu'!C11</f>
        <v>Rebecca Seymour</v>
      </c>
      <c r="E9" s="47" t="str">
        <f>'David Wu'!C12</f>
        <v>Edwin Mayers</v>
      </c>
      <c r="F9" s="47" t="str">
        <f>'David Wu'!C13</f>
        <v>Chinedu Chile</v>
      </c>
      <c r="G9" s="47" t="str">
        <f>'David Wu'!C14</f>
        <v>Joe Paige</v>
      </c>
      <c r="H9" s="47" t="str">
        <f>'David Wu'!C5</f>
        <v>Edwin Mayers</v>
      </c>
    </row>
    <row r="10" spans="2:8" ht="26.1" customHeight="1" x14ac:dyDescent="0.25">
      <c r="B10" s="48" t="s">
        <v>87</v>
      </c>
      <c r="C10" s="49" t="str">
        <f>'Edwin Mayers'!C10</f>
        <v>Sophie Barker</v>
      </c>
      <c r="D10" s="49" t="str">
        <f>'Edwin Mayers'!C11</f>
        <v>Esme Beston</v>
      </c>
      <c r="E10" s="49" t="str">
        <f>'Edwin Mayers'!C12</f>
        <v>Edwin Mayers</v>
      </c>
      <c r="F10" s="49" t="str">
        <f>'Edwin Mayers'!C13</f>
        <v>Emily Warburton</v>
      </c>
      <c r="G10" s="49" t="str">
        <f>'Edwin Mayers'!C14</f>
        <v>Ava Swinfen</v>
      </c>
      <c r="H10" s="49" t="str">
        <f>'Edwin Mayers'!C5</f>
        <v>Emily Warburton</v>
      </c>
    </row>
    <row r="11" spans="2:8" ht="26.1" customHeight="1" x14ac:dyDescent="0.25">
      <c r="B11" s="48" t="s">
        <v>88</v>
      </c>
      <c r="C11" s="47">
        <f>'Emily Warburton'!C10</f>
        <v>0</v>
      </c>
      <c r="D11" s="47">
        <f>'Emily Warburton'!C11</f>
        <v>0</v>
      </c>
      <c r="E11" s="47">
        <f>'Emily Warburton'!C12</f>
        <v>0</v>
      </c>
      <c r="F11" s="47">
        <f>'Emily Warburton'!C13</f>
        <v>0</v>
      </c>
      <c r="G11" s="47">
        <f>'Emily Warburton'!C14</f>
        <v>0</v>
      </c>
      <c r="H11" s="47">
        <f>'Emily Warburton'!C5</f>
        <v>0</v>
      </c>
    </row>
    <row r="12" spans="2:8" ht="26.1" customHeight="1" x14ac:dyDescent="0.25">
      <c r="B12" s="48" t="s">
        <v>89</v>
      </c>
      <c r="C12" s="49">
        <f>'Esme Beston'!C10</f>
        <v>0</v>
      </c>
      <c r="D12" s="49">
        <f>'Esme Beston'!C11</f>
        <v>0</v>
      </c>
      <c r="E12" s="49">
        <f>'Esme Beston'!C12</f>
        <v>0</v>
      </c>
      <c r="F12" s="49">
        <f>'Esme Beston'!C13</f>
        <v>0</v>
      </c>
      <c r="G12" s="49">
        <f>'Esme Beston'!C14</f>
        <v>0</v>
      </c>
      <c r="H12" s="49">
        <f>'Esme Beston'!C5</f>
        <v>0</v>
      </c>
    </row>
    <row r="13" spans="2:8" ht="26.1" customHeight="1" x14ac:dyDescent="0.25">
      <c r="B13" s="48" t="s">
        <v>90</v>
      </c>
      <c r="C13" s="47">
        <f>'Iona Smith'!C10</f>
        <v>0</v>
      </c>
      <c r="D13" s="47">
        <f>'Iona Smith'!C11</f>
        <v>0</v>
      </c>
      <c r="E13" s="47">
        <f>'Iona Smith'!C12</f>
        <v>0</v>
      </c>
      <c r="F13" s="47">
        <f>'Iona Smith'!C13</f>
        <v>0</v>
      </c>
      <c r="G13" s="47">
        <f>'Iona Smith'!C14</f>
        <v>0</v>
      </c>
      <c r="H13" s="47">
        <f>'Iona Smith'!C5</f>
        <v>0</v>
      </c>
    </row>
    <row r="14" spans="2:8" ht="26.1" customHeight="1" x14ac:dyDescent="0.25">
      <c r="B14" s="48" t="s">
        <v>10</v>
      </c>
      <c r="C14" s="49" t="str">
        <f>'Joe Paige'!C10</f>
        <v>Chinedu Chile</v>
      </c>
      <c r="D14" s="49" t="str">
        <f>'Joe Paige'!C11</f>
        <v>Joe Paige</v>
      </c>
      <c r="E14" s="49" t="str">
        <f>'Joe Paige'!C12</f>
        <v>Alfie Foley</v>
      </c>
      <c r="F14" s="49" t="str">
        <f>'Joe Paige'!C13</f>
        <v>Lia Li</v>
      </c>
      <c r="G14" s="49" t="str">
        <f>'Joe Paige'!C14</f>
        <v>Oscar Day-Duran</v>
      </c>
      <c r="H14" s="49" t="str">
        <f>'Joe Paige'!C5</f>
        <v>Chinedu Chile</v>
      </c>
    </row>
    <row r="15" spans="2:8" ht="26.1" customHeight="1" x14ac:dyDescent="0.25">
      <c r="B15" s="48" t="s">
        <v>12</v>
      </c>
      <c r="C15" s="47">
        <f>'Lia Li'!C10</f>
        <v>0</v>
      </c>
      <c r="D15" s="47">
        <f>'Lia Li'!C11</f>
        <v>0</v>
      </c>
      <c r="E15" s="47">
        <f>'Lia Li'!C12</f>
        <v>0</v>
      </c>
      <c r="F15" s="47">
        <f>'Lia Li'!C13</f>
        <v>0</v>
      </c>
      <c r="G15" s="47">
        <f>'Lia Li'!C14</f>
        <v>0</v>
      </c>
      <c r="H15" s="47">
        <f>'Lia Li'!C5</f>
        <v>0</v>
      </c>
    </row>
    <row r="16" spans="2:8" ht="26.1" customHeight="1" x14ac:dyDescent="0.25">
      <c r="B16" s="48" t="s">
        <v>91</v>
      </c>
      <c r="C16" s="49" t="str">
        <f>'Melody Zhaeentan'!C10</f>
        <v>Lia Li</v>
      </c>
      <c r="D16" s="49" t="str">
        <f>'Melody Zhaeentan'!C11</f>
        <v>Edwin Mayers</v>
      </c>
      <c r="E16" s="49" t="str">
        <f>'Melody Zhaeentan'!C12</f>
        <v>Rebecca Seymour</v>
      </c>
      <c r="F16" s="49" t="str">
        <f>'Melody Zhaeentan'!C13</f>
        <v>Joe Paige</v>
      </c>
      <c r="G16" s="49" t="str">
        <f>'Melody Zhaeentan'!C14</f>
        <v>Xander Meijer</v>
      </c>
      <c r="H16" s="49" t="str">
        <f>'Melody Zhaeentan'!C5</f>
        <v>Lia Li</v>
      </c>
    </row>
    <row r="17" spans="2:8" ht="26.1" customHeight="1" x14ac:dyDescent="0.25">
      <c r="B17" s="48" t="s">
        <v>92</v>
      </c>
      <c r="C17" s="47">
        <f>'Nina De Saram'!C10</f>
        <v>0</v>
      </c>
      <c r="D17" s="47">
        <f>'Nina De Saram'!C11</f>
        <v>0</v>
      </c>
      <c r="E17" s="47">
        <f>'Nina De Saram'!C12</f>
        <v>0</v>
      </c>
      <c r="F17" s="47">
        <f>'Nina De Saram'!C13</f>
        <v>0</v>
      </c>
      <c r="G17" s="47">
        <f>'Nina De Saram'!C14</f>
        <v>0</v>
      </c>
      <c r="H17" s="47">
        <f>'Nina De Saram'!C5</f>
        <v>0</v>
      </c>
    </row>
    <row r="18" spans="2:8" ht="26.1" customHeight="1" x14ac:dyDescent="0.25">
      <c r="B18" s="48" t="s">
        <v>13</v>
      </c>
      <c r="C18" s="49" t="str">
        <f>'Oscar Day-Duran'!C10</f>
        <v>Oscar Day-Duran</v>
      </c>
      <c r="D18" s="49" t="str">
        <f>'Oscar Day-Duran'!C11</f>
        <v>Chinedu Chile</v>
      </c>
      <c r="E18" s="49" t="str">
        <f>'Oscar Day-Duran'!C12</f>
        <v>Nina De Saram</v>
      </c>
      <c r="F18" s="49" t="str">
        <f>'Oscar Day-Duran'!C13</f>
        <v>David Wu</v>
      </c>
      <c r="G18" s="49" t="str">
        <f>'Oscar Day-Duran'!C14</f>
        <v>Joe Paige</v>
      </c>
      <c r="H18" s="49" t="str">
        <f>'Oscar Day-Duran'!C5</f>
        <v>Joe Paige</v>
      </c>
    </row>
    <row r="19" spans="2:8" ht="26.1" customHeight="1" x14ac:dyDescent="0.25">
      <c r="B19" s="48" t="s">
        <v>93</v>
      </c>
      <c r="C19" s="47">
        <f>'Rebecca Seymour'!C10</f>
        <v>0</v>
      </c>
      <c r="D19" s="47">
        <f>'Rebecca Seymour'!C11</f>
        <v>0</v>
      </c>
      <c r="E19" s="47">
        <f>'Rebecca Seymour'!C12</f>
        <v>0</v>
      </c>
      <c r="F19" s="47">
        <f>'Rebecca Seymour'!C13</f>
        <v>0</v>
      </c>
      <c r="G19" s="47">
        <f>'Rebecca Seymour'!C14</f>
        <v>0</v>
      </c>
      <c r="H19" s="47">
        <f>'Rebecca Seymour'!C5</f>
        <v>0</v>
      </c>
    </row>
    <row r="20" spans="2:8" ht="26.1" customHeight="1" x14ac:dyDescent="0.25">
      <c r="B20" s="48" t="s">
        <v>94</v>
      </c>
      <c r="C20" s="49" t="str">
        <f>'Rory Bowman'!C10</f>
        <v>David Wu</v>
      </c>
      <c r="D20" s="49" t="str">
        <f>'Rory Bowman'!C11</f>
        <v>Ava Swinfen</v>
      </c>
      <c r="E20" s="49" t="str">
        <f>'Rory Bowman'!C12</f>
        <v>Alyza Rai</v>
      </c>
      <c r="F20" s="49" t="str">
        <f>'Rory Bowman'!C13</f>
        <v>Edwin Mayers</v>
      </c>
      <c r="G20" s="49" t="str">
        <f>'Rory Bowman'!C14</f>
        <v>Lia Li</v>
      </c>
      <c r="H20" s="49" t="str">
        <f>'Rory Bowman'!C5</f>
        <v>Lia Li</v>
      </c>
    </row>
    <row r="21" spans="2:8" ht="26.1" customHeight="1" x14ac:dyDescent="0.25">
      <c r="B21" s="48" t="s">
        <v>95</v>
      </c>
      <c r="C21" s="47">
        <f>'Sophie Barker'!C10</f>
        <v>0</v>
      </c>
      <c r="D21" s="47">
        <f>'Sophie Barker'!C11</f>
        <v>0</v>
      </c>
      <c r="E21" s="47">
        <f>'Sophie Barker'!C12</f>
        <v>0</v>
      </c>
      <c r="F21" s="47">
        <f>'Sophie Barker'!C13</f>
        <v>0</v>
      </c>
      <c r="G21" s="47">
        <f>'Sophie Barker'!C14</f>
        <v>0</v>
      </c>
      <c r="H21" s="47">
        <f>'Sophie Barker'!C5</f>
        <v>0</v>
      </c>
    </row>
    <row r="22" spans="2:8" ht="26.1" customHeight="1" x14ac:dyDescent="0.25">
      <c r="B22" s="48" t="s">
        <v>96</v>
      </c>
      <c r="C22" s="49" t="str">
        <f>'Xander Meijer'!C10</f>
        <v>Lia Li</v>
      </c>
      <c r="D22" s="49" t="str">
        <f>'Xander Meijer'!C11</f>
        <v>David Wu</v>
      </c>
      <c r="E22" s="49" t="str">
        <f>'Xander Meijer'!C12</f>
        <v>Ava Swinfen</v>
      </c>
      <c r="F22" s="49" t="str">
        <f>'Xander Meijer'!C13</f>
        <v>Joe Paige</v>
      </c>
      <c r="G22" s="49" t="str">
        <f>'Xander Meijer'!C14</f>
        <v>Melody Zhaeentan</v>
      </c>
      <c r="H22" s="49" t="str">
        <f>'Xander Meijer'!C5</f>
        <v>Lia Li</v>
      </c>
    </row>
  </sheetData>
  <sheetProtection password="90E3"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HOME</vt:lpstr>
      <vt:lpstr>RULES</vt:lpstr>
      <vt:lpstr>PICK YOUR TEAM</vt:lpstr>
      <vt:lpstr>PLAYER MARKET</vt:lpstr>
      <vt:lpstr>TEST RESULTS</vt:lpstr>
      <vt:lpstr> Overall Leaderboard</vt:lpstr>
      <vt:lpstr>GW Leaderboard</vt:lpstr>
      <vt:lpstr>SETTINGS</vt:lpstr>
      <vt:lpstr>RAW RESULTS</vt:lpstr>
      <vt:lpstr>CALCULATIONS</vt:lpstr>
      <vt:lpstr>Alexa Amesimeku</vt:lpstr>
      <vt:lpstr>Alfie Foley</vt:lpstr>
      <vt:lpstr>Alyza Rai</vt:lpstr>
      <vt:lpstr>Ava Swinfen</vt:lpstr>
      <vt:lpstr>Azlan Husain</vt:lpstr>
      <vt:lpstr>Chinedu Chile</vt:lpstr>
      <vt:lpstr>Daniel Liu</vt:lpstr>
      <vt:lpstr>David Wu</vt:lpstr>
      <vt:lpstr>Edwin Mayers</vt:lpstr>
      <vt:lpstr>Emily Warburton</vt:lpstr>
      <vt:lpstr>Esme Beston</vt:lpstr>
      <vt:lpstr>Iona Smith</vt:lpstr>
      <vt:lpstr>Joe Paige</vt:lpstr>
      <vt:lpstr>Lia Li</vt:lpstr>
      <vt:lpstr>Melody Zhaeentan</vt:lpstr>
      <vt:lpstr>Nina De Saram</vt:lpstr>
      <vt:lpstr>Oscar Day-Duran</vt:lpstr>
      <vt:lpstr>Rebecca Seymour</vt:lpstr>
      <vt:lpstr>Rory Bowman</vt:lpstr>
      <vt:lpstr>Sophie Barker</vt:lpstr>
      <vt:lpstr>Xander Meijer</vt:lpstr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Chinedu Chile</cp:lastModifiedBy>
  <dcterms:created xsi:type="dcterms:W3CDTF">2026-10-01T18:54:29Z</dcterms:created>
  <dcterms:modified xsi:type="dcterms:W3CDTF">2026-10-02T20:32:39Z</dcterms:modified>
</cp:coreProperties>
</file>
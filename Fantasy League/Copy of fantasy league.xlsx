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48b5d172b360b34/Python Stuff/Fantasy League/"/>
    </mc:Choice>
  </mc:AlternateContent>
  <xr:revisionPtr revIDLastSave="48" documentId="11_1DE81F1D050A995F34F73A9581C791A2EDC4CF96" xr6:coauthVersionLast="47" xr6:coauthVersionMax="47" xr10:uidLastSave="{E193395F-6B84-4CB6-8A76-443D0F0F044D}"/>
  <bookViews>
    <workbookView xWindow="-120" yWindow="-120" windowWidth="29040" windowHeight="15720" firstSheet="1" activeTab="1" xr2:uid="{00000000-000D-0000-FFFF-FFFF00000000}"/>
  </bookViews>
  <sheets>
    <sheet name="HOME" sheetId="1" r:id="rId1"/>
    <sheet name="PICK YOUR TEAM" sheetId="2" r:id="rId2"/>
    <sheet name="TEST RESULTS" sheetId="3" r:id="rId3"/>
    <sheet name="PLAYER MARKET" sheetId="4" r:id="rId4"/>
    <sheet name="2. Overall Leaderboard" sheetId="5" r:id="rId5"/>
    <sheet name="3. GW Leaderboard" sheetId="6" r:id="rId6"/>
    <sheet name="RULES" sheetId="7" r:id="rId7"/>
    <sheet name="1. Raw Results" sheetId="8" state="hidden" r:id="rId8"/>
    <sheet name="CALCULATIONS" sheetId="9" state="hidden" r:id="rId9"/>
    <sheet name="Alexa Amesimeku" sheetId="10" r:id="rId10"/>
    <sheet name="Alfie Foley" sheetId="11" r:id="rId11"/>
    <sheet name="Alyza Rai" sheetId="12" r:id="rId12"/>
    <sheet name="Ava Swinfen" sheetId="13" r:id="rId13"/>
    <sheet name="Azlan Husain" sheetId="14" r:id="rId14"/>
    <sheet name="Chinedu Chile" sheetId="15" r:id="rId15"/>
    <sheet name="Daniel Liu" sheetId="16" r:id="rId16"/>
    <sheet name="David Wu" sheetId="17" r:id="rId17"/>
    <sheet name="Edwin Mayers" sheetId="18" r:id="rId18"/>
    <sheet name="Emily Warburton" sheetId="19" r:id="rId19"/>
    <sheet name="Esme Beston" sheetId="20" r:id="rId20"/>
    <sheet name="Iona Smith" sheetId="21" r:id="rId21"/>
    <sheet name="Joe Paige" sheetId="22" r:id="rId22"/>
    <sheet name="Lia Li" sheetId="23" r:id="rId23"/>
    <sheet name="Melody Zhaeentan" sheetId="24" r:id="rId24"/>
    <sheet name="Nina De Saram" sheetId="25" r:id="rId25"/>
    <sheet name="Oscar Day-Duran" sheetId="26" r:id="rId26"/>
    <sheet name="Rebecca Seymour" sheetId="27" r:id="rId27"/>
    <sheet name="Rory Bowman" sheetId="28" r:id="rId28"/>
    <sheet name="Sophie Barker" sheetId="29" r:id="rId29"/>
    <sheet name="Xander Meijer" sheetId="30" r:id="rId3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30" l="1"/>
  <c r="C19" i="30" s="1"/>
  <c r="T22" i="9" s="1"/>
  <c r="D22" i="8" s="1"/>
  <c r="D14" i="30"/>
  <c r="D13" i="30"/>
  <c r="D12" i="30"/>
  <c r="D11" i="30"/>
  <c r="D10" i="30"/>
  <c r="C17" i="30" s="1"/>
  <c r="C20" i="29"/>
  <c r="C19" i="29"/>
  <c r="T21" i="9" s="1"/>
  <c r="D21" i="8" s="1"/>
  <c r="D14" i="29"/>
  <c r="D13" i="29"/>
  <c r="D12" i="29"/>
  <c r="D11" i="29"/>
  <c r="D10" i="29"/>
  <c r="C17" i="29" s="1"/>
  <c r="C20" i="28"/>
  <c r="C19" i="28" s="1"/>
  <c r="T20" i="9" s="1"/>
  <c r="D20" i="8" s="1"/>
  <c r="D14" i="28"/>
  <c r="D13" i="28"/>
  <c r="D12" i="28"/>
  <c r="D11" i="28"/>
  <c r="D10" i="28"/>
  <c r="C17" i="28" s="1"/>
  <c r="C20" i="27"/>
  <c r="C19" i="27" s="1"/>
  <c r="T19" i="9" s="1"/>
  <c r="D19" i="8" s="1"/>
  <c r="D14" i="27"/>
  <c r="D13" i="27"/>
  <c r="D12" i="27"/>
  <c r="D11" i="27"/>
  <c r="D10" i="27"/>
  <c r="C17" i="27" s="1"/>
  <c r="C20" i="26"/>
  <c r="C19" i="26" s="1"/>
  <c r="T18" i="9" s="1"/>
  <c r="D18" i="8" s="1"/>
  <c r="D14" i="26"/>
  <c r="D13" i="26"/>
  <c r="D12" i="26"/>
  <c r="D11" i="26"/>
  <c r="D10" i="26"/>
  <c r="C17" i="26" s="1"/>
  <c r="C20" i="25"/>
  <c r="C19" i="25" s="1"/>
  <c r="T17" i="9" s="1"/>
  <c r="D17" i="8" s="1"/>
  <c r="D14" i="25"/>
  <c r="D13" i="25"/>
  <c r="D12" i="25"/>
  <c r="D11" i="25"/>
  <c r="D10" i="25"/>
  <c r="C17" i="25" s="1"/>
  <c r="D14" i="24"/>
  <c r="C20" i="24" s="1"/>
  <c r="D13" i="24"/>
  <c r="D12" i="24"/>
  <c r="D11" i="24"/>
  <c r="D10" i="24"/>
  <c r="C20" i="23"/>
  <c r="C19" i="23" s="1"/>
  <c r="T15" i="9" s="1"/>
  <c r="D15" i="8" s="1"/>
  <c r="D14" i="23"/>
  <c r="D13" i="23"/>
  <c r="D12" i="23"/>
  <c r="D11" i="23"/>
  <c r="D10" i="23"/>
  <c r="C17" i="23" s="1"/>
  <c r="C20" i="22"/>
  <c r="C19" i="22" s="1"/>
  <c r="T14" i="9" s="1"/>
  <c r="D14" i="8" s="1"/>
  <c r="C17" i="22"/>
  <c r="D14" i="22"/>
  <c r="D13" i="22"/>
  <c r="D12" i="22"/>
  <c r="D11" i="22"/>
  <c r="D10" i="22"/>
  <c r="C20" i="21"/>
  <c r="C19" i="21"/>
  <c r="D14" i="21"/>
  <c r="D13" i="21"/>
  <c r="D12" i="21"/>
  <c r="D11" i="21"/>
  <c r="D10" i="21"/>
  <c r="C17" i="21" s="1"/>
  <c r="C20" i="20"/>
  <c r="C19" i="20"/>
  <c r="D14" i="20"/>
  <c r="D13" i="20"/>
  <c r="D12" i="20"/>
  <c r="D11" i="20"/>
  <c r="D10" i="20"/>
  <c r="C17" i="20" s="1"/>
  <c r="C20" i="19"/>
  <c r="C19" i="19"/>
  <c r="D14" i="19"/>
  <c r="D13" i="19"/>
  <c r="D12" i="19"/>
  <c r="D11" i="19"/>
  <c r="D10" i="19"/>
  <c r="C17" i="19" s="1"/>
  <c r="D14" i="18"/>
  <c r="C20" i="18" s="1"/>
  <c r="D13" i="18"/>
  <c r="D12" i="18"/>
  <c r="D11" i="18"/>
  <c r="D10" i="18"/>
  <c r="C20" i="17"/>
  <c r="C19" i="17" s="1"/>
  <c r="T9" i="9" s="1"/>
  <c r="D9" i="8" s="1"/>
  <c r="D14" i="17"/>
  <c r="D13" i="17"/>
  <c r="D12" i="17"/>
  <c r="D11" i="17"/>
  <c r="D10" i="17"/>
  <c r="C17" i="17" s="1"/>
  <c r="C20" i="16"/>
  <c r="C19" i="16" s="1"/>
  <c r="T8" i="9" s="1"/>
  <c r="D8" i="8" s="1"/>
  <c r="D14" i="16"/>
  <c r="D13" i="16"/>
  <c r="D12" i="16"/>
  <c r="D11" i="16"/>
  <c r="D10" i="16"/>
  <c r="C17" i="16" s="1"/>
  <c r="D14" i="15"/>
  <c r="C20" i="15" s="1"/>
  <c r="D13" i="15"/>
  <c r="D12" i="15"/>
  <c r="D11" i="15"/>
  <c r="D10" i="15"/>
  <c r="D14" i="14"/>
  <c r="D13" i="14"/>
  <c r="C20" i="14" s="1"/>
  <c r="D12" i="14"/>
  <c r="D11" i="14"/>
  <c r="D10" i="14"/>
  <c r="D14" i="13"/>
  <c r="C20" i="13" s="1"/>
  <c r="D13" i="13"/>
  <c r="D12" i="13"/>
  <c r="D11" i="13"/>
  <c r="D10" i="13"/>
  <c r="C20" i="12"/>
  <c r="C19" i="12"/>
  <c r="D14" i="12"/>
  <c r="D13" i="12"/>
  <c r="D12" i="12"/>
  <c r="D11" i="12"/>
  <c r="D10" i="12"/>
  <c r="C17" i="12" s="1"/>
  <c r="D14" i="11"/>
  <c r="C20" i="11" s="1"/>
  <c r="D13" i="11"/>
  <c r="D12" i="11"/>
  <c r="D11" i="11"/>
  <c r="D10" i="11"/>
  <c r="C20" i="10"/>
  <c r="C19" i="10"/>
  <c r="D14" i="10"/>
  <c r="D13" i="10"/>
  <c r="D12" i="10"/>
  <c r="D11" i="10"/>
  <c r="D10" i="10"/>
  <c r="C17" i="10" s="1"/>
  <c r="W22" i="9"/>
  <c r="U22" i="9"/>
  <c r="C25" i="2" s="1"/>
  <c r="Q22" i="9"/>
  <c r="P22" i="9"/>
  <c r="O22" i="9"/>
  <c r="N22" i="9"/>
  <c r="M22" i="9"/>
  <c r="L22" i="9"/>
  <c r="F22" i="9"/>
  <c r="D22" i="9"/>
  <c r="C22" i="9"/>
  <c r="W21" i="9"/>
  <c r="U21" i="9"/>
  <c r="C24" i="2" s="1"/>
  <c r="Q21" i="9"/>
  <c r="P21" i="9"/>
  <c r="O21" i="9"/>
  <c r="N21" i="9"/>
  <c r="M21" i="9"/>
  <c r="L21" i="9"/>
  <c r="F21" i="9"/>
  <c r="D21" i="9"/>
  <c r="C21" i="9"/>
  <c r="W20" i="9"/>
  <c r="U20" i="9"/>
  <c r="C23" i="2" s="1"/>
  <c r="Q20" i="9"/>
  <c r="P20" i="9"/>
  <c r="O20" i="9"/>
  <c r="N20" i="9"/>
  <c r="M20" i="9"/>
  <c r="L20" i="9"/>
  <c r="F20" i="9"/>
  <c r="D20" i="9"/>
  <c r="C20" i="9"/>
  <c r="W19" i="9"/>
  <c r="U19" i="9"/>
  <c r="C22" i="2" s="1"/>
  <c r="Q19" i="9"/>
  <c r="P19" i="9"/>
  <c r="O19" i="9"/>
  <c r="N19" i="9"/>
  <c r="M19" i="9"/>
  <c r="L19" i="9"/>
  <c r="F19" i="9"/>
  <c r="D19" i="9"/>
  <c r="C19" i="9"/>
  <c r="W18" i="9"/>
  <c r="U18" i="9"/>
  <c r="C21" i="2" s="1"/>
  <c r="Q18" i="9"/>
  <c r="P18" i="9"/>
  <c r="O18" i="9"/>
  <c r="N18" i="9"/>
  <c r="M18" i="9"/>
  <c r="L18" i="9"/>
  <c r="F18" i="9"/>
  <c r="D18" i="9"/>
  <c r="C18" i="9"/>
  <c r="W17" i="9"/>
  <c r="U17" i="9"/>
  <c r="C20" i="2" s="1"/>
  <c r="Q17" i="9"/>
  <c r="P17" i="9"/>
  <c r="O17" i="9"/>
  <c r="N17" i="9"/>
  <c r="M17" i="9"/>
  <c r="L17" i="9"/>
  <c r="F17" i="9"/>
  <c r="D17" i="9"/>
  <c r="C17" i="9"/>
  <c r="W16" i="9"/>
  <c r="Q16" i="9"/>
  <c r="P16" i="9"/>
  <c r="O16" i="9"/>
  <c r="N16" i="9"/>
  <c r="M16" i="9"/>
  <c r="L16" i="9"/>
  <c r="F16" i="9"/>
  <c r="D16" i="9"/>
  <c r="C16" i="9"/>
  <c r="W15" i="9"/>
  <c r="U15" i="9"/>
  <c r="C18" i="2" s="1"/>
  <c r="Q15" i="9"/>
  <c r="P15" i="9"/>
  <c r="O15" i="9"/>
  <c r="N15" i="9"/>
  <c r="M15" i="9"/>
  <c r="L15" i="9"/>
  <c r="F15" i="9"/>
  <c r="D18" i="4" s="1"/>
  <c r="D15" i="9"/>
  <c r="C15" i="9"/>
  <c r="C18" i="4" s="1"/>
  <c r="W14" i="9"/>
  <c r="E17" i="4" s="1"/>
  <c r="U14" i="9"/>
  <c r="C17" i="2" s="1"/>
  <c r="Q14" i="9"/>
  <c r="P14" i="9"/>
  <c r="O14" i="9"/>
  <c r="N14" i="9"/>
  <c r="M14" i="9"/>
  <c r="L14" i="9"/>
  <c r="F14" i="9"/>
  <c r="D17" i="4" s="1"/>
  <c r="D14" i="9"/>
  <c r="C14" i="9"/>
  <c r="C17" i="4" s="1"/>
  <c r="W13" i="9"/>
  <c r="U13" i="9"/>
  <c r="C16" i="2" s="1"/>
  <c r="T13" i="9"/>
  <c r="D13" i="8" s="1"/>
  <c r="Q13" i="9"/>
  <c r="P13" i="9"/>
  <c r="O13" i="9"/>
  <c r="N13" i="9"/>
  <c r="M13" i="9"/>
  <c r="L13" i="9"/>
  <c r="F13" i="9"/>
  <c r="D16" i="4" s="1"/>
  <c r="D13" i="9"/>
  <c r="C13" i="9"/>
  <c r="C16" i="4" s="1"/>
  <c r="W12" i="9"/>
  <c r="U12" i="9"/>
  <c r="C15" i="2" s="1"/>
  <c r="T12" i="9"/>
  <c r="D12" i="8" s="1"/>
  <c r="Q12" i="9"/>
  <c r="P12" i="9"/>
  <c r="O12" i="9"/>
  <c r="N12" i="9"/>
  <c r="M12" i="9"/>
  <c r="L12" i="9"/>
  <c r="F12" i="9"/>
  <c r="D15" i="4" s="1"/>
  <c r="D12" i="9"/>
  <c r="C12" i="9"/>
  <c r="C15" i="4" s="1"/>
  <c r="W11" i="9"/>
  <c r="U11" i="9"/>
  <c r="C14" i="2" s="1"/>
  <c r="T11" i="9"/>
  <c r="D11" i="8" s="1"/>
  <c r="Q11" i="9"/>
  <c r="P11" i="9"/>
  <c r="O11" i="9"/>
  <c r="N11" i="9"/>
  <c r="M11" i="9"/>
  <c r="L11" i="9"/>
  <c r="F11" i="9"/>
  <c r="D14" i="4" s="1"/>
  <c r="D11" i="9"/>
  <c r="C11" i="9"/>
  <c r="C14" i="4" s="1"/>
  <c r="W10" i="9"/>
  <c r="E13" i="4" s="1"/>
  <c r="Q10" i="9"/>
  <c r="P10" i="9"/>
  <c r="O10" i="9"/>
  <c r="N10" i="9"/>
  <c r="M10" i="9"/>
  <c r="L10" i="9"/>
  <c r="F10" i="9"/>
  <c r="D13" i="4" s="1"/>
  <c r="D10" i="9"/>
  <c r="C10" i="9"/>
  <c r="C13" i="4" s="1"/>
  <c r="W9" i="9"/>
  <c r="U9" i="9"/>
  <c r="C12" i="2" s="1"/>
  <c r="Q9" i="9"/>
  <c r="P9" i="9"/>
  <c r="O9" i="9"/>
  <c r="N9" i="9"/>
  <c r="M9" i="9"/>
  <c r="L9" i="9"/>
  <c r="F9" i="9"/>
  <c r="D12" i="4" s="1"/>
  <c r="D9" i="9"/>
  <c r="C9" i="9"/>
  <c r="C12" i="4" s="1"/>
  <c r="W8" i="9"/>
  <c r="E11" i="4" s="1"/>
  <c r="U8" i="9"/>
  <c r="C11" i="2" s="1"/>
  <c r="Q8" i="9"/>
  <c r="P8" i="9"/>
  <c r="O8" i="9"/>
  <c r="N8" i="9"/>
  <c r="M8" i="9"/>
  <c r="L8" i="9"/>
  <c r="F8" i="9"/>
  <c r="D11" i="4" s="1"/>
  <c r="D8" i="9"/>
  <c r="C8" i="9"/>
  <c r="C11" i="4" s="1"/>
  <c r="W7" i="9"/>
  <c r="Q7" i="9"/>
  <c r="P7" i="9"/>
  <c r="O7" i="9"/>
  <c r="N7" i="9"/>
  <c r="M7" i="9"/>
  <c r="L7" i="9"/>
  <c r="F7" i="9"/>
  <c r="D10" i="4" s="1"/>
  <c r="D7" i="9"/>
  <c r="C7" i="9"/>
  <c r="C10" i="4" s="1"/>
  <c r="W6" i="9"/>
  <c r="Q6" i="9"/>
  <c r="P6" i="9"/>
  <c r="O6" i="9"/>
  <c r="N6" i="9"/>
  <c r="M6" i="9"/>
  <c r="L6" i="9"/>
  <c r="F6" i="9"/>
  <c r="D9" i="4" s="1"/>
  <c r="D6" i="9"/>
  <c r="C6" i="9"/>
  <c r="C9" i="4" s="1"/>
  <c r="W5" i="9"/>
  <c r="E8" i="4" s="1"/>
  <c r="Q5" i="9"/>
  <c r="P5" i="9"/>
  <c r="O5" i="9"/>
  <c r="N5" i="9"/>
  <c r="M5" i="9"/>
  <c r="L5" i="9"/>
  <c r="F5" i="9"/>
  <c r="D8" i="4" s="1"/>
  <c r="D5" i="9"/>
  <c r="C5" i="9"/>
  <c r="C8" i="4" s="1"/>
  <c r="W4" i="9"/>
  <c r="U4" i="9"/>
  <c r="C7" i="2" s="1"/>
  <c r="T4" i="9"/>
  <c r="D4" i="8" s="1"/>
  <c r="Q4" i="9"/>
  <c r="P4" i="9"/>
  <c r="O4" i="9"/>
  <c r="N4" i="9"/>
  <c r="M4" i="9"/>
  <c r="L4" i="9"/>
  <c r="F4" i="9"/>
  <c r="D7" i="4" s="1"/>
  <c r="D4" i="9"/>
  <c r="C4" i="9"/>
  <c r="C7" i="4" s="1"/>
  <c r="W3" i="9"/>
  <c r="E6" i="4" s="1"/>
  <c r="Q3" i="9"/>
  <c r="P3" i="9"/>
  <c r="O3" i="9"/>
  <c r="N3" i="9"/>
  <c r="M3" i="9"/>
  <c r="L3" i="9"/>
  <c r="F3" i="9"/>
  <c r="D6" i="4" s="1"/>
  <c r="D3" i="9"/>
  <c r="C3" i="9"/>
  <c r="C6" i="4" s="1"/>
  <c r="W2" i="9"/>
  <c r="E5" i="4" s="1"/>
  <c r="U2" i="9"/>
  <c r="C5" i="2" s="1"/>
  <c r="T2" i="9"/>
  <c r="Q2" i="9"/>
  <c r="P2" i="9"/>
  <c r="O2" i="9"/>
  <c r="N2" i="9"/>
  <c r="M2" i="9"/>
  <c r="L2" i="9"/>
  <c r="F2" i="9"/>
  <c r="D5" i="4" s="1"/>
  <c r="D2" i="9"/>
  <c r="C2" i="9"/>
  <c r="C5" i="4" s="1"/>
  <c r="D2" i="8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C17" i="24" l="1"/>
  <c r="C19" i="24"/>
  <c r="T16" i="9" s="1"/>
  <c r="D16" i="8" s="1"/>
  <c r="U16" i="9"/>
  <c r="C19" i="2" s="1"/>
  <c r="C17" i="18"/>
  <c r="U10" i="9"/>
  <c r="C13" i="2" s="1"/>
  <c r="C19" i="18"/>
  <c r="T10" i="9" s="1"/>
  <c r="D10" i="8" s="1"/>
  <c r="C19" i="15"/>
  <c r="T7" i="9" s="1"/>
  <c r="D7" i="8" s="1"/>
  <c r="U7" i="9"/>
  <c r="C10" i="2" s="1"/>
  <c r="C17" i="15"/>
  <c r="C17" i="14"/>
  <c r="C19" i="14"/>
  <c r="T6" i="9" s="1"/>
  <c r="D6" i="8" s="1"/>
  <c r="U6" i="9"/>
  <c r="C9" i="2" s="1"/>
  <c r="U5" i="9"/>
  <c r="C8" i="2" s="1"/>
  <c r="C19" i="13"/>
  <c r="T5" i="9" s="1"/>
  <c r="D5" i="8" s="1"/>
  <c r="C17" i="13"/>
  <c r="U3" i="9"/>
  <c r="C6" i="2" s="1"/>
  <c r="C19" i="11"/>
  <c r="T3" i="9" s="1"/>
  <c r="D3" i="8" s="1"/>
  <c r="E15" i="4"/>
  <c r="E14" i="4"/>
  <c r="E7" i="4"/>
  <c r="E16" i="4"/>
  <c r="E10" i="4"/>
  <c r="E18" i="4"/>
  <c r="E12" i="4"/>
  <c r="C17" i="11"/>
  <c r="E9" i="4"/>
  <c r="C18" i="30"/>
  <c r="S22" i="9" s="1"/>
  <c r="R22" i="9"/>
  <c r="C18" i="29"/>
  <c r="S21" i="9" s="1"/>
  <c r="R21" i="9"/>
  <c r="C18" i="28"/>
  <c r="S20" i="9" s="1"/>
  <c r="R20" i="9"/>
  <c r="C18" i="27"/>
  <c r="S19" i="9" s="1"/>
  <c r="R19" i="9"/>
  <c r="C18" i="26"/>
  <c r="S18" i="9" s="1"/>
  <c r="R18" i="9"/>
  <c r="C18" i="25"/>
  <c r="S17" i="9" s="1"/>
  <c r="R17" i="9"/>
  <c r="C18" i="23"/>
  <c r="S15" i="9" s="1"/>
  <c r="R15" i="9"/>
  <c r="R14" i="9"/>
  <c r="C18" i="22"/>
  <c r="S14" i="9" s="1"/>
  <c r="C18" i="21"/>
  <c r="S13" i="9" s="1"/>
  <c r="R13" i="9"/>
  <c r="C18" i="20"/>
  <c r="S12" i="9" s="1"/>
  <c r="R12" i="9"/>
  <c r="C18" i="19"/>
  <c r="S11" i="9" s="1"/>
  <c r="R11" i="9"/>
  <c r="R9" i="9"/>
  <c r="C18" i="17"/>
  <c r="S9" i="9" s="1"/>
  <c r="C18" i="16"/>
  <c r="S8" i="9" s="1"/>
  <c r="R8" i="9"/>
  <c r="C18" i="12"/>
  <c r="S4" i="9" s="1"/>
  <c r="R4" i="9"/>
  <c r="C18" i="10"/>
  <c r="S2" i="9" s="1"/>
  <c r="R2" i="9"/>
  <c r="B8" i="6" l="1" a="1"/>
  <c r="B5" i="6" s="1"/>
  <c r="B6" i="5" a="1"/>
  <c r="B3" i="5" s="1"/>
  <c r="C18" i="24"/>
  <c r="S16" i="9" s="1"/>
  <c r="R16" i="9"/>
  <c r="R10" i="9"/>
  <c r="C18" i="18"/>
  <c r="S10" i="9" s="1"/>
  <c r="R7" i="9"/>
  <c r="C18" i="15"/>
  <c r="S7" i="9" s="1"/>
  <c r="R6" i="9"/>
  <c r="C18" i="14"/>
  <c r="S6" i="9" s="1"/>
  <c r="C18" i="13"/>
  <c r="S5" i="9" s="1"/>
  <c r="R5" i="9"/>
  <c r="C18" i="11"/>
  <c r="S3" i="9" s="1"/>
  <c r="R3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<sst xmlns="http://schemas.openxmlformats.org/spreadsheetml/2006/main" count="990" uniqueCount="180">
  <si>
    <t>YEAR 11 FANTASY LEAGUE</t>
  </si>
  <si>
    <t>CURRENT GAMEWEEK:</t>
  </si>
  <si>
    <t>HOW TO PLAY</t>
  </si>
  <si>
    <t>1.  Go to PICK YOUR TEAM and click your name.</t>
  </si>
  <si>
    <t>2.  Pick 5 players from the dropdowns (each shows the price).</t>
  </si>
  <si>
    <t>3.  Pick 1 captain using the GOLD CAPTAIN BOX at the top.</t>
  </si>
  <si>
    <t>4.  Stay under the £50m budget.</t>
  </si>
  <si>
    <t>5.  Enter your own test % on TEST RESULTS after each test.</t>
  </si>
  <si>
    <t>HOW POINTS WORK</t>
  </si>
  <si>
    <t>95–100%</t>
  </si>
  <si>
    <t>10 points</t>
  </si>
  <si>
    <t>90–94%</t>
  </si>
  <si>
    <t>9 points</t>
  </si>
  <si>
    <t>85–89%</t>
  </si>
  <si>
    <t>8 points</t>
  </si>
  <si>
    <t>80–84%</t>
  </si>
  <si>
    <t>7 points</t>
  </si>
  <si>
    <t>75–79%</t>
  </si>
  <si>
    <t>6 points</t>
  </si>
  <si>
    <t>70–74%</t>
  </si>
  <si>
    <t>5 points</t>
  </si>
  <si>
    <t>65–69%</t>
  </si>
  <si>
    <t>4 points</t>
  </si>
  <si>
    <t>60–64%</t>
  </si>
  <si>
    <t>3 points</t>
  </si>
  <si>
    <t>Below 60%</t>
  </si>
  <si>
    <t>0 points</t>
  </si>
  <si>
    <t>HOW PRICES WORK</t>
  </si>
  <si>
    <t>Prices move based on FORM — how each player performs compared to their
OWN previous test. Consistent players don't move.</t>
  </si>
  <si>
    <t>Improved vs last test</t>
  </si>
  <si>
    <t>+£0.1m</t>
  </si>
  <si>
    <t>Same as last test</t>
  </si>
  <si>
    <t>No change</t>
  </si>
  <si>
    <t>Declined vs last test</t>
  </si>
  <si>
    <t>-£0.1m</t>
  </si>
  <si>
    <t>First gameweek</t>
  </si>
  <si>
    <t>Did not take test</t>
  </si>
  <si>
    <t>Prices stay between £7.0m and £13.0m. Small changes each week but add up over the season.</t>
  </si>
  <si>
    <t>PICK YOUR TEAM</t>
  </si>
  <si>
    <t>Click your name to jump to your team sheet.</t>
  </si>
  <si>
    <t>Manager</t>
  </si>
  <si>
    <t>Status</t>
  </si>
  <si>
    <t>Alexa Amesimeku</t>
  </si>
  <si>
    <t>Alfie Foley</t>
  </si>
  <si>
    <t>Alyza Rai</t>
  </si>
  <si>
    <t>Ava Swinfen</t>
  </si>
  <si>
    <t>Azlan Husain</t>
  </si>
  <si>
    <t>Chinedu Chile</t>
  </si>
  <si>
    <t>Daniel Liu</t>
  </si>
  <si>
    <t>David Wu</t>
  </si>
  <si>
    <t>Edwin Mayers</t>
  </si>
  <si>
    <t>Emily Warburton</t>
  </si>
  <si>
    <t>Esme Beston</t>
  </si>
  <si>
    <t>Iona Smith</t>
  </si>
  <si>
    <t>Joe Paige</t>
  </si>
  <si>
    <t>Lia Li</t>
  </si>
  <si>
    <t>Melody Zhaeentan</t>
  </si>
  <si>
    <t>Nina De Saram</t>
  </si>
  <si>
    <t>Oscar Day-Duran</t>
  </si>
  <si>
    <t>Rebecca Seymour</t>
  </si>
  <si>
    <t>Rory Bowman</t>
  </si>
  <si>
    <t>Sophie Barker</t>
  </si>
  <si>
    <t>Xander Meijer</t>
  </si>
  <si>
    <t>TEST RESULTS</t>
  </si>
  <si>
    <t>GAMEWEEK 1  •  Test on TBC</t>
  </si>
  <si>
    <t>Student</t>
  </si>
  <si>
    <t>Test %  —  type 90, not 90%</t>
  </si>
  <si>
    <t>Enter a whole number between 0 and 100.
Do NOT type the % sign — just the number. Example: 90</t>
  </si>
  <si>
    <t>PLAYER MARKET</t>
  </si>
  <si>
    <t>Prices  •  This week's change  •  Ownership</t>
  </si>
  <si>
    <t>Player</t>
  </si>
  <si>
    <t>Price</t>
  </si>
  <si>
    <t>Change</t>
  </si>
  <si>
    <t>Ownership %</t>
  </si>
  <si>
    <t>PRICE RULES
Prices move ±£0.1m based on form vs each player's previous test.
Minimum £7.0m  •  Maximum £13.0m</t>
  </si>
  <si>
    <t>OVERALL LEADERBOARD</t>
  </si>
  <si>
    <t>All gameweeks combined  •  Sorted by points (shared rank on ties)</t>
  </si>
  <si>
    <t>Rank</t>
  </si>
  <si>
    <t>Overall Points</t>
  </si>
  <si>
    <t>GAMEWEEK LEADERBOARD</t>
  </si>
  <si>
    <t>This gameweek only  •  Sorted by points (shared rank on ties)</t>
  </si>
  <si>
    <t>GW Points</t>
  </si>
  <si>
    <t>RULES &amp; HOW TO PLAY</t>
  </si>
  <si>
    <t>BUDGET</t>
  </si>
  <si>
    <t>£50.0m per manager. Pick exactly 5 players. Squad value cannot exceed £50.0m.</t>
  </si>
  <si>
    <t>CAPTAIN</t>
  </si>
  <si>
    <t>Choose 1 captain using the GOLD dropdown at the top of your team sheet. The captain scores 2× their normal Gameweek points.</t>
  </si>
  <si>
    <t>DEADLINE</t>
  </si>
  <si>
    <t>Set manually on HOME each gameweek.</t>
  </si>
  <si>
    <t>TEST DATE</t>
  </si>
  <si>
    <t>RESULT ENTRY</t>
  </si>
  <si>
    <t>After the test, each student enters only their own percentage on TEST RESULTS.</t>
  </si>
  <si>
    <t>POINTS</t>
  </si>
  <si>
    <t>95–100% = 10 • 90–94% = 9 • 85–89% = 8 • 80–84% = 7 • 75–79% = 6 • 70–74% = 5 • 65–69% = 4 • 60–64% = 3 • Below 60% = 0.</t>
  </si>
  <si>
    <t>PRICE CHANGES</t>
  </si>
  <si>
    <t>Prices move based on FORM. If a student improves vs their last test → +£0.1m. If they decline → -£0.1m. Same → no change. First week or blank test → no change.</t>
  </si>
  <si>
    <t>PRICE LIMITS</t>
  </si>
  <si>
    <t>Minimum £7.0m. Maximum £13.0m.</t>
  </si>
  <si>
    <t>TRANSFERS</t>
  </si>
  <si>
    <t>After every Gameweek: unlimited transfers, free transfers, no penalties, captains can change.</t>
  </si>
  <si>
    <t>TRANSFER DEADLINE</t>
  </si>
  <si>
    <t>The transfer window closes at the next Gameweek deadline.</t>
  </si>
  <si>
    <t>GOLDEN RULE</t>
  </si>
  <si>
    <t>Users only need to pick 5 players, pick a captain and enter their own test result. Excel handles the rest.</t>
  </si>
  <si>
    <t>Gameweek</t>
  </si>
  <si>
    <t>Points</t>
  </si>
  <si>
    <t>GW1</t>
  </si>
  <si>
    <t>Base Price</t>
  </si>
  <si>
    <t>Current Price</t>
  </si>
  <si>
    <t>Points This Week</t>
  </si>
  <si>
    <t>Last Week Pts</t>
  </si>
  <si>
    <t>Δ</t>
  </si>
  <si>
    <t>P1</t>
  </si>
  <si>
    <t>P2</t>
  </si>
  <si>
    <t>P3</t>
  </si>
  <si>
    <t>P4</t>
  </si>
  <si>
    <t>P5</t>
  </si>
  <si>
    <t>Captain</t>
  </si>
  <si>
    <t>Team Value</t>
  </si>
  <si>
    <t>Budget Left</t>
  </si>
  <si>
    <t>GW Score</t>
  </si>
  <si>
    <t>Dropdown</t>
  </si>
  <si>
    <t>ALEXA AMESIMEKU'S TEAM</t>
  </si>
  <si>
    <t>← Back to PICK YOUR TEAM</t>
  </si>
  <si>
    <t>PICK YOUR CAPTAIN  (scores 2× points)</t>
  </si>
  <si>
    <t>Step 1: Pick your 5 players below.  Step 2: Choose your captain in the GOLD box above.</t>
  </si>
  <si>
    <t>SQUAD</t>
  </si>
  <si>
    <t>Slot</t>
  </si>
  <si>
    <t>TEAM SUMMARY</t>
  </si>
  <si>
    <t>Team Status</t>
  </si>
  <si>
    <t>INPUT CELLS ARE GOLD.
Only the captain cell (C5) and the 5 player cells (C10:C14) should be edited.
Do NOT type 'CAPTAIN' anywhere in the squad — use the GOLD box above.</t>
  </si>
  <si>
    <t>EXAMPLE  (do not edit — for reference only)</t>
  </si>
  <si>
    <t>Chinedu Chile  —  £11.0m</t>
  </si>
  <si>
    <t>£11.0m</t>
  </si>
  <si>
    <t>Emily Warburton  —  £11.0m</t>
  </si>
  <si>
    <t>Joe Paige  —  £10.5m</t>
  </si>
  <si>
    <t>£10.5m</t>
  </si>
  <si>
    <t>Edwin Mayers  —  £9.0m</t>
  </si>
  <si>
    <t>£9.0m</t>
  </si>
  <si>
    <t>Alfie Foley  —  £7.5m</t>
  </si>
  <si>
    <t>£7.5m</t>
  </si>
  <si>
    <t>TEAM VALUE</t>
  </si>
  <si>
    <t>£49.0m     BUDGET LEFT  £1.0m</t>
  </si>
  <si>
    <t>STATUS</t>
  </si>
  <si>
    <t>✓ VALID TEAM</t>
  </si>
  <si>
    <t>ALFIE FOLEY'S TEAM</t>
  </si>
  <si>
    <t>ALYZA RAI'S TEAM</t>
  </si>
  <si>
    <t>AVA SWINFEN'S TEAM</t>
  </si>
  <si>
    <t>AZLAN HUSAIN'S TEAM</t>
  </si>
  <si>
    <t>CHINEDU CHILE'S TEAM</t>
  </si>
  <si>
    <t>DANIEL LIU'S TEAM</t>
  </si>
  <si>
    <t>DAVID WU'S TEAM</t>
  </si>
  <si>
    <t>EDWIN MAYERS'S TEAM</t>
  </si>
  <si>
    <t>EMILY WARBURTON'S TEAM</t>
  </si>
  <si>
    <t>ESME BESTON'S TEAM</t>
  </si>
  <si>
    <t>IONA SMITH'S TEAM</t>
  </si>
  <si>
    <t>JOE PAIGE'S TEAM</t>
  </si>
  <si>
    <t>LIA LI'S TEAM</t>
  </si>
  <si>
    <t>MELODY ZHAEENTAN'S TEAM</t>
  </si>
  <si>
    <t>NINA DE SARAM'S TEAM</t>
  </si>
  <si>
    <t>OSCAR DAY-DURAN'S TEAM</t>
  </si>
  <si>
    <t>REBECCA SEYMOUR'S TEAM</t>
  </si>
  <si>
    <t>RORY BOWMAN'S TEAM</t>
  </si>
  <si>
    <t>SOPHIE BARKER'S TEAM</t>
  </si>
  <si>
    <t>XANDER MEIJER'S TEAM</t>
  </si>
  <si>
    <t>Ava Swinfen  —  £7.0m</t>
  </si>
  <si>
    <t>David Wu  —  £10.5m</t>
  </si>
  <si>
    <t>Alyza Rai  —  £10.5m</t>
  </si>
  <si>
    <t>Sophie Barker  —  £13.0m</t>
  </si>
  <si>
    <t>Rory Bowman  —  £7.0m</t>
  </si>
  <si>
    <t>Melody Zhaeentan  —  £8.5m</t>
  </si>
  <si>
    <t>Lia Li  —  £13.0m</t>
  </si>
  <si>
    <t>Daniel Liu  —  £9.5m</t>
  </si>
  <si>
    <t>Alexa Amesimeku  —  £9.5m</t>
  </si>
  <si>
    <t>Azlan Husain  —  £10.0m</t>
  </si>
  <si>
    <t>Esme Beston  —  £8.0m</t>
  </si>
  <si>
    <t>Xander Meijer  —  £7.0m</t>
  </si>
  <si>
    <t>GAMEWEEK 1 - Biology</t>
  </si>
  <si>
    <t>DEADLINE: 27/09/26 - 19:00  •  GAMEWEEK 1  •  Biology</t>
  </si>
  <si>
    <t xml:space="preserve">TEST DATE: 28/09/26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</si>
</sst>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£0.0&quot;m&quot;"/>
    <numFmt numFmtId="165" formatCode="0&quot;%&quot;"/>
    <numFmt numFmtId="166" formatCode="&quot;▲ +£&quot;0.0&quot;m&quot;;&quot;▼ -£&quot;0.0&quot;m&quot;;&quot;— £0.0m&quot;"/>
  </numFmts>
  <fonts count="17" x14ac:knownFonts="1">
    <font>
      <sz val="11"/>
      <color theme="1"/>
      <name val="Calibri"/>
      <family val="2"/>
      <scheme val="minor"/>
    </font>
    <font>
      <b/>
      <sz val="22"/>
      <color rgb="FFFFFFFF"/>
      <name val="Calibri"/>
    </font>
    <font>
      <b/>
      <sz val="16"/>
      <color rgb="FF1565C0"/>
      <name val="Calibri"/>
    </font>
    <font>
      <b/>
      <sz val="13"/>
      <color rgb="FF172033"/>
      <name val="Calibri"/>
    </font>
    <font>
      <b/>
      <sz val="12"/>
      <color rgb="FF6B7280"/>
      <name val="Calibri"/>
    </font>
    <font>
      <b/>
      <sz val="14"/>
      <color rgb="FF0B1F3A"/>
      <name val="Calibri"/>
    </font>
    <font>
      <b/>
      <sz val="13"/>
      <color rgb="FFFFFFFF"/>
      <name val="Calibri"/>
    </font>
    <font>
      <sz val="12"/>
      <color rgb="FF172033"/>
      <name val="Calibri"/>
    </font>
    <font>
      <b/>
      <sz val="12"/>
      <color rgb="FF172033"/>
      <name val="Calibri"/>
    </font>
    <font>
      <i/>
      <sz val="11"/>
      <color rgb="FF6B7280"/>
      <name val="Calibri"/>
    </font>
    <font>
      <i/>
      <sz val="12"/>
      <color rgb="FF6B7280"/>
      <name val="Calibri"/>
    </font>
    <font>
      <b/>
      <sz val="12"/>
      <color rgb="FFFFFFFF"/>
      <name val="Calibri"/>
    </font>
    <font>
      <b/>
      <u/>
      <sz val="12"/>
      <color rgb="FF1565C0"/>
      <name val="Calibri"/>
    </font>
    <font>
      <b/>
      <sz val="12"/>
      <color rgb="FF1565C0"/>
      <name val="Calibri"/>
    </font>
    <font>
      <b/>
      <sz val="13"/>
      <color rgb="FF0B1F3A"/>
      <name val="Calibri"/>
    </font>
    <font>
      <b/>
      <sz val="12"/>
      <color rgb="FF16A34A"/>
      <name val="Calibri"/>
    </font>
    <font>
      <b/>
      <sz val="14"/>
      <color rgb="FF92400E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B1F3A"/>
      </patternFill>
    </fill>
    <fill>
      <patternFill patternType="solid">
        <fgColor rgb="FFEAF2FF"/>
      </patternFill>
    </fill>
    <fill>
      <patternFill patternType="solid">
        <fgColor rgb="FFFEF3C7"/>
      </patternFill>
    </fill>
    <fill>
      <patternFill patternType="solid">
        <fgColor rgb="FF1565C0"/>
      </patternFill>
    </fill>
    <fill>
      <patternFill patternType="solid">
        <fgColor rgb="FFF5F9FF"/>
      </patternFill>
    </fill>
    <fill>
      <patternFill patternType="solid">
        <fgColor rgb="FFFFFFFF"/>
      </patternFill>
    </fill>
    <fill>
      <patternFill patternType="solid">
        <fgColor rgb="FF475569"/>
      </patternFill>
    </fill>
    <fill>
      <patternFill patternType="solid">
        <fgColor rgb="FF334155"/>
      </patternFill>
    </fill>
    <fill>
      <patternFill patternType="solid">
        <fgColor rgb="FFDCFCE7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/>
      <right/>
      <top/>
      <bottom style="medium">
        <color rgb="FF1565C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0" xfId="0" applyFont="1" applyAlignment="1">
      <alignment horizontal="right" vertical="center"/>
    </xf>
    <xf numFmtId="0" fontId="5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/>
    </xf>
    <xf numFmtId="0" fontId="11" fillId="2" borderId="2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 indent="1"/>
    </xf>
    <xf numFmtId="0" fontId="7" fillId="6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left" vertical="center"/>
    </xf>
    <xf numFmtId="165" fontId="7" fillId="4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/>
    </xf>
    <xf numFmtId="164" fontId="8" fillId="7" borderId="1" xfId="0" applyNumberFormat="1" applyFont="1" applyFill="1" applyBorder="1" applyAlignment="1">
      <alignment horizontal="center" vertical="center"/>
    </xf>
    <xf numFmtId="166" fontId="8" fillId="7" borderId="1" xfId="0" applyNumberFormat="1" applyFont="1" applyFill="1" applyBorder="1" applyAlignment="1">
      <alignment horizontal="center" vertical="center"/>
    </xf>
    <xf numFmtId="9" fontId="7" fillId="7" borderId="1" xfId="0" applyNumberFormat="1" applyFont="1" applyFill="1" applyBorder="1" applyAlignment="1">
      <alignment horizontal="center" vertical="center"/>
    </xf>
    <xf numFmtId="164" fontId="8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9" fontId="7" fillId="6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 wrapText="1" indent="1"/>
    </xf>
    <xf numFmtId="0" fontId="14" fillId="4" borderId="1" xfId="0" applyFont="1" applyFill="1" applyBorder="1" applyAlignment="1">
      <alignment horizontal="left" vertical="center" indent="1"/>
    </xf>
    <xf numFmtId="0" fontId="7" fillId="7" borderId="1" xfId="0" applyFont="1" applyFill="1" applyBorder="1" applyAlignment="1">
      <alignment horizontal="center" vertical="center"/>
    </xf>
    <xf numFmtId="164" fontId="8" fillId="7" borderId="1" xfId="0" applyNumberFormat="1" applyFont="1" applyFill="1" applyBorder="1" applyAlignment="1">
      <alignment horizontal="left" vertical="center"/>
    </xf>
    <xf numFmtId="1" fontId="8" fillId="7" borderId="1" xfId="0" applyNumberFormat="1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 indent="1"/>
    </xf>
    <xf numFmtId="0" fontId="11" fillId="9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10" fillId="0" borderId="0" xfId="0" applyFont="1" applyAlignment="1">
      <alignment horizontal="left" vertical="center" indent="1"/>
    </xf>
    <xf numFmtId="0" fontId="8" fillId="3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3" fillId="3" borderId="0" xfId="0" applyFont="1" applyFill="1" applyAlignment="1">
      <alignment horizontal="center" vertical="center"/>
    </xf>
    <xf numFmtId="0" fontId="7" fillId="6" borderId="1" xfId="0" applyFont="1" applyFill="1" applyBorder="1" applyAlignment="1">
      <alignment horizontal="left" vertical="center" indent="1"/>
    </xf>
    <xf numFmtId="0" fontId="9" fillId="0" borderId="0" xfId="0" applyFont="1" applyAlignment="1">
      <alignment horizontal="left" vertical="center" indent="1"/>
    </xf>
    <xf numFmtId="0" fontId="6" fillId="5" borderId="0" xfId="0" applyFont="1" applyFill="1" applyAlignment="1">
      <alignment horizontal="left" vertical="center" indent="1"/>
    </xf>
    <xf numFmtId="0" fontId="7" fillId="6" borderId="1" xfId="0" applyFont="1" applyFill="1" applyBorder="1" applyAlignment="1">
      <alignment horizontal="left" vertical="center"/>
    </xf>
    <xf numFmtId="0" fontId="2" fillId="0" borderId="0" xfId="0" applyFont="1" applyAlignment="1">
      <alignment horizontal="left" vertical="center" indent="1"/>
    </xf>
    <xf numFmtId="0" fontId="7" fillId="4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 vertical="center" indent="1"/>
    </xf>
    <xf numFmtId="0" fontId="7" fillId="3" borderId="1" xfId="0" applyFont="1" applyFill="1" applyBorder="1" applyAlignment="1">
      <alignment horizontal="left" vertical="center"/>
    </xf>
    <xf numFmtId="0" fontId="16" fillId="4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0" fontId="6" fillId="8" borderId="0" xfId="0" applyFont="1" applyFill="1" applyAlignment="1">
      <alignment horizontal="left" vertical="center" indent="1"/>
    </xf>
    <xf numFmtId="0" fontId="12" fillId="0" borderId="0" xfId="0" applyFont="1" applyAlignment="1">
      <alignment horizontal="left" vertical="center" indent="1"/>
    </xf>
  </cellXfs>
  <cellStyles count="1">
    <cellStyle name="Normal" xfId="0" builtinId="0"/>
  </cellStyles>
  <dxfs count="57">
    <dxf>
      <fill>
        <patternFill>
          <fgColor rgb="FFFF0000"/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FF0000"/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9A3412"/>
      </font>
      <fill>
        <patternFill patternType="solid">
          <fgColor rgb="FFFED7AA"/>
        </patternFill>
      </fill>
    </dxf>
    <dxf>
      <font>
        <b/>
        <color rgb="FF374151"/>
      </font>
      <fill>
        <patternFill patternType="solid">
          <fgColor rgb="FFE5E7EB"/>
        </patternFill>
      </fill>
    </dxf>
    <dxf>
      <font>
        <b/>
        <color rgb="FF92400E"/>
      </font>
      <fill>
        <patternFill patternType="solid">
          <fgColor rgb="FFFEF3C7"/>
        </patternFill>
      </fill>
    </dxf>
    <dxf>
      <font>
        <b/>
        <color rgb="FF6B7280"/>
      </font>
      <fill>
        <patternFill patternType="solid">
          <fgColor rgb="FFF3F4F6"/>
        </patternFill>
      </fill>
    </dxf>
    <dxf>
      <font>
        <b/>
        <color rgb="FFDC2626"/>
      </font>
      <fill>
        <patternFill patternType="solid">
          <fgColor rgb="FFFEE2E2"/>
        </patternFill>
      </fill>
    </dxf>
    <dxf>
      <font>
        <b/>
        <color rgb="FF16A34A"/>
      </font>
      <fill>
        <patternFill patternType="solid">
          <fgColor rgb="FFDCFCE7"/>
        </patternFill>
      </fill>
    </dxf>
  </dxfs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565C0"/>
  </sheetPr>
  <dimension ref="B1:G38"/>
  <sheetViews>
    <sheetView showGridLines="0" topLeftCell="A5" zoomScale="90" workbookViewId="0">
      <selection activeCell="L7" sqref="L7"/>
    </sheetView>
  </sheetViews>
  <sheetFormatPr defaultRowHeight="15" x14ac:dyDescent="0.25"/>
  <cols>
    <col min="1" max="1" width="4" customWidth="1"/>
    <col min="2" max="2" width="28" customWidth="1"/>
    <col min="3" max="7" width="26" customWidth="1"/>
    <col min="8" max="8" width="4" customWidth="1"/>
  </cols>
  <sheetData>
    <row r="1" spans="2:7" ht="51.95" customHeight="1" x14ac:dyDescent="0.25">
      <c r="B1" s="26" t="s">
        <v>0</v>
      </c>
      <c r="C1" s="27"/>
      <c r="D1" s="27"/>
      <c r="E1" s="27"/>
      <c r="F1" s="27"/>
      <c r="G1" s="27"/>
    </row>
    <row r="2" spans="2:7" ht="32.1" customHeight="1" x14ac:dyDescent="0.25">
      <c r="B2" s="36" t="s">
        <v>177</v>
      </c>
      <c r="C2" s="27"/>
      <c r="D2" s="27"/>
      <c r="E2" s="27"/>
      <c r="F2" s="27"/>
      <c r="G2" s="27"/>
    </row>
    <row r="3" spans="2:7" ht="12" customHeight="1" x14ac:dyDescent="0.25">
      <c r="B3" s="27"/>
      <c r="C3" s="27"/>
      <c r="D3" s="27"/>
      <c r="E3" s="27"/>
      <c r="F3" s="27"/>
      <c r="G3" s="27"/>
    </row>
    <row r="4" spans="2:7" ht="33.950000000000003" customHeight="1" x14ac:dyDescent="0.25">
      <c r="B4" s="31" t="s">
        <v>178</v>
      </c>
      <c r="C4" s="27"/>
      <c r="D4" s="27"/>
      <c r="E4" s="27"/>
      <c r="F4" s="27"/>
      <c r="G4" s="27"/>
    </row>
    <row r="5" spans="2:7" ht="33.950000000000003" customHeight="1" x14ac:dyDescent="0.25">
      <c r="B5" s="31" t="s">
        <v>179</v>
      </c>
      <c r="C5" s="27"/>
      <c r="D5" s="27"/>
      <c r="E5" s="27"/>
      <c r="F5" s="27"/>
      <c r="G5" s="27"/>
    </row>
    <row r="6" spans="2:7" ht="12" customHeight="1" x14ac:dyDescent="0.25">
      <c r="B6" s="27"/>
      <c r="C6" s="27"/>
      <c r="D6" s="27"/>
      <c r="E6" s="27"/>
      <c r="F6" s="27"/>
      <c r="G6" s="27"/>
    </row>
    <row r="7" spans="2:7" ht="30" customHeight="1" x14ac:dyDescent="0.25">
      <c r="B7" s="1" t="s">
        <v>1</v>
      </c>
      <c r="C7" s="2">
        <v>1</v>
      </c>
    </row>
    <row r="8" spans="2:7" ht="12" customHeight="1" x14ac:dyDescent="0.25">
      <c r="B8" s="27"/>
      <c r="C8" s="27"/>
      <c r="D8" s="27"/>
      <c r="E8" s="27"/>
      <c r="F8" s="27"/>
      <c r="G8" s="27"/>
    </row>
    <row r="9" spans="2:7" ht="32.1" customHeight="1" x14ac:dyDescent="0.25">
      <c r="B9" s="34" t="s">
        <v>2</v>
      </c>
      <c r="C9" s="27"/>
      <c r="D9" s="27"/>
      <c r="E9" s="27"/>
      <c r="F9" s="27"/>
      <c r="G9" s="27"/>
    </row>
    <row r="10" spans="2:7" ht="30" customHeight="1" x14ac:dyDescent="0.25">
      <c r="B10" s="32" t="s">
        <v>3</v>
      </c>
      <c r="C10" s="27"/>
      <c r="D10" s="27"/>
      <c r="E10" s="27"/>
      <c r="F10" s="27"/>
      <c r="G10" s="27"/>
    </row>
    <row r="11" spans="2:7" ht="30" customHeight="1" x14ac:dyDescent="0.25">
      <c r="B11" s="32" t="s">
        <v>4</v>
      </c>
      <c r="C11" s="27"/>
      <c r="D11" s="27"/>
      <c r="E11" s="27"/>
      <c r="F11" s="27"/>
      <c r="G11" s="27"/>
    </row>
    <row r="12" spans="2:7" ht="30" customHeight="1" x14ac:dyDescent="0.25">
      <c r="B12" s="32" t="s">
        <v>5</v>
      </c>
      <c r="C12" s="27"/>
      <c r="D12" s="27"/>
      <c r="E12" s="27"/>
      <c r="F12" s="27"/>
      <c r="G12" s="27"/>
    </row>
    <row r="13" spans="2:7" ht="30" customHeight="1" x14ac:dyDescent="0.25">
      <c r="B13" s="32" t="s">
        <v>6</v>
      </c>
      <c r="C13" s="27"/>
      <c r="D13" s="27"/>
      <c r="E13" s="27"/>
      <c r="F13" s="27"/>
      <c r="G13" s="27"/>
    </row>
    <row r="14" spans="2:7" ht="30" customHeight="1" x14ac:dyDescent="0.25">
      <c r="B14" s="32" t="s">
        <v>7</v>
      </c>
      <c r="C14" s="27"/>
      <c r="D14" s="27"/>
      <c r="E14" s="27"/>
      <c r="F14" s="27"/>
      <c r="G14" s="27"/>
    </row>
    <row r="16" spans="2:7" ht="12" customHeight="1" x14ac:dyDescent="0.25">
      <c r="B16" s="27"/>
      <c r="C16" s="27"/>
      <c r="D16" s="27"/>
      <c r="E16" s="27"/>
      <c r="F16" s="27"/>
      <c r="G16" s="27"/>
    </row>
    <row r="17" spans="2:7" ht="32.1" customHeight="1" x14ac:dyDescent="0.25">
      <c r="B17" s="34" t="s">
        <v>8</v>
      </c>
      <c r="C17" s="27"/>
      <c r="D17" s="27"/>
      <c r="E17" s="27"/>
      <c r="F17" s="27"/>
      <c r="G17" s="27"/>
    </row>
    <row r="18" spans="2:7" ht="26.1" customHeight="1" x14ac:dyDescent="0.25">
      <c r="B18" s="29" t="s">
        <v>9</v>
      </c>
      <c r="C18" s="27"/>
      <c r="D18" s="30" t="s">
        <v>10</v>
      </c>
      <c r="E18" s="27"/>
      <c r="F18" s="27"/>
      <c r="G18" s="27"/>
    </row>
    <row r="19" spans="2:7" ht="26.1" customHeight="1" x14ac:dyDescent="0.25">
      <c r="B19" s="29" t="s">
        <v>11</v>
      </c>
      <c r="C19" s="27"/>
      <c r="D19" s="30" t="s">
        <v>12</v>
      </c>
      <c r="E19" s="27"/>
      <c r="F19" s="27"/>
      <c r="G19" s="27"/>
    </row>
    <row r="20" spans="2:7" ht="26.1" customHeight="1" x14ac:dyDescent="0.25">
      <c r="B20" s="29" t="s">
        <v>13</v>
      </c>
      <c r="C20" s="27"/>
      <c r="D20" s="30" t="s">
        <v>14</v>
      </c>
      <c r="E20" s="27"/>
      <c r="F20" s="27"/>
      <c r="G20" s="27"/>
    </row>
    <row r="21" spans="2:7" ht="26.1" customHeight="1" x14ac:dyDescent="0.25">
      <c r="B21" s="29" t="s">
        <v>15</v>
      </c>
      <c r="C21" s="27"/>
      <c r="D21" s="30" t="s">
        <v>16</v>
      </c>
      <c r="E21" s="27"/>
      <c r="F21" s="27"/>
      <c r="G21" s="27"/>
    </row>
    <row r="22" spans="2:7" ht="26.1" customHeight="1" x14ac:dyDescent="0.25">
      <c r="B22" s="29" t="s">
        <v>17</v>
      </c>
      <c r="C22" s="27"/>
      <c r="D22" s="30" t="s">
        <v>18</v>
      </c>
      <c r="E22" s="27"/>
      <c r="F22" s="27"/>
      <c r="G22" s="27"/>
    </row>
    <row r="23" spans="2:7" ht="26.1" customHeight="1" x14ac:dyDescent="0.25">
      <c r="B23" s="29" t="s">
        <v>19</v>
      </c>
      <c r="C23" s="27"/>
      <c r="D23" s="30" t="s">
        <v>20</v>
      </c>
      <c r="E23" s="27"/>
      <c r="F23" s="27"/>
      <c r="G23" s="27"/>
    </row>
    <row r="24" spans="2:7" ht="26.1" customHeight="1" x14ac:dyDescent="0.25">
      <c r="B24" s="29" t="s">
        <v>21</v>
      </c>
      <c r="C24" s="27"/>
      <c r="D24" s="30" t="s">
        <v>22</v>
      </c>
      <c r="E24" s="27"/>
      <c r="F24" s="27"/>
      <c r="G24" s="27"/>
    </row>
    <row r="25" spans="2:7" ht="26.1" customHeight="1" x14ac:dyDescent="0.25">
      <c r="B25" s="29" t="s">
        <v>23</v>
      </c>
      <c r="C25" s="27"/>
      <c r="D25" s="30" t="s">
        <v>24</v>
      </c>
      <c r="E25" s="27"/>
      <c r="F25" s="27"/>
      <c r="G25" s="27"/>
    </row>
    <row r="26" spans="2:7" ht="26.1" customHeight="1" x14ac:dyDescent="0.25">
      <c r="B26" s="29" t="s">
        <v>25</v>
      </c>
      <c r="C26" s="27"/>
      <c r="D26" s="30" t="s">
        <v>26</v>
      </c>
      <c r="E26" s="27"/>
      <c r="F26" s="27"/>
      <c r="G26" s="27"/>
    </row>
    <row r="28" spans="2:7" ht="12" customHeight="1" x14ac:dyDescent="0.25">
      <c r="B28" s="27"/>
      <c r="C28" s="27"/>
      <c r="D28" s="27"/>
      <c r="E28" s="27"/>
      <c r="F28" s="27"/>
      <c r="G28" s="27"/>
    </row>
    <row r="29" spans="2:7" ht="32.1" customHeight="1" x14ac:dyDescent="0.25">
      <c r="B29" s="34" t="s">
        <v>27</v>
      </c>
      <c r="C29" s="27"/>
      <c r="D29" s="27"/>
      <c r="E29" s="27"/>
      <c r="F29" s="27"/>
      <c r="G29" s="27"/>
    </row>
    <row r="30" spans="2:7" ht="21.95" customHeight="1" x14ac:dyDescent="0.25">
      <c r="B30" s="35" t="s">
        <v>28</v>
      </c>
      <c r="C30" s="27"/>
      <c r="D30" s="27"/>
      <c r="E30" s="27"/>
      <c r="F30" s="27"/>
      <c r="G30" s="27"/>
    </row>
    <row r="31" spans="2:7" ht="21.95" customHeight="1" x14ac:dyDescent="0.25">
      <c r="B31" s="27"/>
      <c r="C31" s="27"/>
      <c r="D31" s="27"/>
      <c r="E31" s="27"/>
      <c r="F31" s="27"/>
      <c r="G31" s="27"/>
    </row>
    <row r="32" spans="2:7" ht="26.1" customHeight="1" x14ac:dyDescent="0.25">
      <c r="B32" s="29" t="s">
        <v>29</v>
      </c>
      <c r="C32" s="27"/>
      <c r="D32" s="27"/>
      <c r="E32" s="30" t="s">
        <v>30</v>
      </c>
      <c r="F32" s="27"/>
      <c r="G32" s="27"/>
    </row>
    <row r="33" spans="2:7" ht="26.1" customHeight="1" x14ac:dyDescent="0.25">
      <c r="B33" s="29" t="s">
        <v>31</v>
      </c>
      <c r="C33" s="27"/>
      <c r="D33" s="27"/>
      <c r="E33" s="30" t="s">
        <v>32</v>
      </c>
      <c r="F33" s="27"/>
      <c r="G33" s="27"/>
    </row>
    <row r="34" spans="2:7" ht="26.1" customHeight="1" x14ac:dyDescent="0.25">
      <c r="B34" s="29" t="s">
        <v>33</v>
      </c>
      <c r="C34" s="27"/>
      <c r="D34" s="27"/>
      <c r="E34" s="30" t="s">
        <v>34</v>
      </c>
      <c r="F34" s="27"/>
      <c r="G34" s="27"/>
    </row>
    <row r="35" spans="2:7" ht="26.1" customHeight="1" x14ac:dyDescent="0.25">
      <c r="B35" s="29" t="s">
        <v>35</v>
      </c>
      <c r="C35" s="27"/>
      <c r="D35" s="27"/>
      <c r="E35" s="30" t="s">
        <v>32</v>
      </c>
      <c r="F35" s="27"/>
      <c r="G35" s="27"/>
    </row>
    <row r="36" spans="2:7" ht="26.1" customHeight="1" x14ac:dyDescent="0.25">
      <c r="B36" s="29" t="s">
        <v>36</v>
      </c>
      <c r="C36" s="27"/>
      <c r="D36" s="27"/>
      <c r="E36" s="30" t="s">
        <v>32</v>
      </c>
      <c r="F36" s="27"/>
      <c r="G36" s="27"/>
    </row>
    <row r="38" spans="2:7" ht="30" customHeight="1" x14ac:dyDescent="0.25">
      <c r="B38" s="33" t="s">
        <v>37</v>
      </c>
      <c r="C38" s="27"/>
      <c r="D38" s="27"/>
      <c r="E38" s="27"/>
      <c r="F38" s="27"/>
      <c r="G38" s="27"/>
    </row>
  </sheetData>
  <mergeCells count="47">
    <mergeCell ref="B34:D34"/>
    <mergeCell ref="B30:G31"/>
    <mergeCell ref="B1:G1"/>
    <mergeCell ref="B8:G8"/>
    <mergeCell ref="D24:G24"/>
    <mergeCell ref="B22:C22"/>
    <mergeCell ref="B9:G9"/>
    <mergeCell ref="B6:G6"/>
    <mergeCell ref="B5:G5"/>
    <mergeCell ref="B2:G2"/>
    <mergeCell ref="D18:G18"/>
    <mergeCell ref="B25:C25"/>
    <mergeCell ref="B14:G14"/>
    <mergeCell ref="D25:G25"/>
    <mergeCell ref="B17:G17"/>
    <mergeCell ref="B38:G38"/>
    <mergeCell ref="D23:G23"/>
    <mergeCell ref="B21:C21"/>
    <mergeCell ref="B10:G10"/>
    <mergeCell ref="D26:G26"/>
    <mergeCell ref="B28:G28"/>
    <mergeCell ref="E36:G36"/>
    <mergeCell ref="D20:G20"/>
    <mergeCell ref="B23:C23"/>
    <mergeCell ref="D19:G19"/>
    <mergeCell ref="D22:G22"/>
    <mergeCell ref="E32:G32"/>
    <mergeCell ref="B33:D33"/>
    <mergeCell ref="B36:D36"/>
    <mergeCell ref="B19:C19"/>
    <mergeCell ref="B32:D32"/>
    <mergeCell ref="B35:D35"/>
    <mergeCell ref="D21:G21"/>
    <mergeCell ref="B4:G4"/>
    <mergeCell ref="B3:G3"/>
    <mergeCell ref="B16:G16"/>
    <mergeCell ref="B24:C24"/>
    <mergeCell ref="E33:G33"/>
    <mergeCell ref="B20:C20"/>
    <mergeCell ref="E35:G35"/>
    <mergeCell ref="B12:G12"/>
    <mergeCell ref="B26:C26"/>
    <mergeCell ref="B11:G11"/>
    <mergeCell ref="E34:G34"/>
    <mergeCell ref="B13:G13"/>
    <mergeCell ref="B18:C18"/>
    <mergeCell ref="B29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D4ED8"/>
  </sheetPr>
  <dimension ref="B1:C25"/>
  <sheetViews>
    <sheetView showGridLines="0" tabSelected="1" zoomScale="90" workbookViewId="0">
      <selection activeCell="H11" sqref="H11"/>
    </sheetView>
  </sheetViews>
  <sheetFormatPr defaultRowHeight="15" x14ac:dyDescent="0.25"/>
  <cols>
    <col min="1" max="1" width="6" customWidth="1"/>
    <col min="2" max="2" width="32" customWidth="1"/>
    <col min="3" max="3" width="26" customWidth="1"/>
  </cols>
  <sheetData>
    <row r="1" spans="2:3" ht="51.95" customHeight="1" x14ac:dyDescent="0.25">
      <c r="B1" s="26" t="s">
        <v>38</v>
      </c>
      <c r="C1" s="27"/>
    </row>
    <row r="2" spans="2:3" ht="30" customHeight="1" x14ac:dyDescent="0.25">
      <c r="B2" s="28" t="s">
        <v>39</v>
      </c>
      <c r="C2" s="27"/>
    </row>
    <row r="3" spans="2:3" ht="12" customHeight="1" x14ac:dyDescent="0.25">
      <c r="B3" s="27"/>
      <c r="C3" s="27"/>
    </row>
    <row r="4" spans="2:3" ht="32.1" customHeight="1" x14ac:dyDescent="0.25">
      <c r="B4" s="4" t="s">
        <v>40</v>
      </c>
      <c r="C4" s="4" t="s">
        <v>41</v>
      </c>
    </row>
    <row r="5" spans="2:3" ht="30" customHeight="1" x14ac:dyDescent="0.25">
      <c r="B5" s="5" t="s">
        <v>42</v>
      </c>
      <c r="C5" s="6" t="str">
        <f>CALCULATIONS!U2</f>
        <v>LESS THAN 5 PLAYERS</v>
      </c>
    </row>
    <row r="6" spans="2:3" ht="30" customHeight="1" x14ac:dyDescent="0.25">
      <c r="B6" s="5" t="s">
        <v>43</v>
      </c>
      <c r="C6" s="6" t="str">
        <f>CALCULATIONS!U3</f>
        <v>VALID TEAM</v>
      </c>
    </row>
    <row r="7" spans="2:3" ht="30" customHeight="1" x14ac:dyDescent="0.25">
      <c r="B7" s="5" t="s">
        <v>44</v>
      </c>
      <c r="C7" s="6" t="str">
        <f>CALCULATIONS!U4</f>
        <v>LESS THAN 5 PLAYERS</v>
      </c>
    </row>
    <row r="8" spans="2:3" ht="30" customHeight="1" x14ac:dyDescent="0.25">
      <c r="B8" s="5" t="s">
        <v>45</v>
      </c>
      <c r="C8" s="6" t="str">
        <f>CALCULATIONS!U5</f>
        <v>VALID TEAM</v>
      </c>
    </row>
    <row r="9" spans="2:3" ht="30" customHeight="1" x14ac:dyDescent="0.25">
      <c r="B9" s="5" t="s">
        <v>46</v>
      </c>
      <c r="C9" s="6" t="str">
        <f>CALCULATIONS!U6</f>
        <v>VALID TEAM</v>
      </c>
    </row>
    <row r="10" spans="2:3" ht="30" customHeight="1" x14ac:dyDescent="0.25">
      <c r="B10" s="5" t="s">
        <v>47</v>
      </c>
      <c r="C10" s="6" t="str">
        <f>CALCULATIONS!U7</f>
        <v>VALID TEAM</v>
      </c>
    </row>
    <row r="11" spans="2:3" ht="30" customHeight="1" x14ac:dyDescent="0.25">
      <c r="B11" s="5" t="s">
        <v>48</v>
      </c>
      <c r="C11" s="6" t="str">
        <f>CALCULATIONS!U8</f>
        <v>LESS THAN 5 PLAYERS</v>
      </c>
    </row>
    <row r="12" spans="2:3" ht="30" customHeight="1" x14ac:dyDescent="0.25">
      <c r="B12" s="5" t="s">
        <v>49</v>
      </c>
      <c r="C12" s="6" t="str">
        <f>CALCULATIONS!U9</f>
        <v>LESS THAN 5 PLAYERS</v>
      </c>
    </row>
    <row r="13" spans="2:3" ht="30" customHeight="1" x14ac:dyDescent="0.25">
      <c r="B13" s="5" t="s">
        <v>50</v>
      </c>
      <c r="C13" s="6" t="str">
        <f>CALCULATIONS!U10</f>
        <v>VALID TEAM</v>
      </c>
    </row>
    <row r="14" spans="2:3" ht="30" customHeight="1" x14ac:dyDescent="0.25">
      <c r="B14" s="5" t="s">
        <v>51</v>
      </c>
      <c r="C14" s="6" t="str">
        <f>CALCULATIONS!U11</f>
        <v>LESS THAN 5 PLAYERS</v>
      </c>
    </row>
    <row r="15" spans="2:3" ht="30" customHeight="1" x14ac:dyDescent="0.25">
      <c r="B15" s="5" t="s">
        <v>52</v>
      </c>
      <c r="C15" s="6" t="str">
        <f>CALCULATIONS!U12</f>
        <v>LESS THAN 5 PLAYERS</v>
      </c>
    </row>
    <row r="16" spans="2:3" ht="30" customHeight="1" x14ac:dyDescent="0.25">
      <c r="B16" s="5" t="s">
        <v>53</v>
      </c>
      <c r="C16" s="6" t="str">
        <f>CALCULATIONS!U13</f>
        <v>LESS THAN 5 PLAYERS</v>
      </c>
    </row>
    <row r="17" spans="2:3" ht="30" customHeight="1" x14ac:dyDescent="0.25">
      <c r="B17" s="5" t="s">
        <v>54</v>
      </c>
      <c r="C17" s="6" t="str">
        <f>CALCULATIONS!U14</f>
        <v>LESS THAN 5 PLAYERS</v>
      </c>
    </row>
    <row r="18" spans="2:3" ht="30" customHeight="1" x14ac:dyDescent="0.25">
      <c r="B18" s="5" t="s">
        <v>55</v>
      </c>
      <c r="C18" s="6" t="str">
        <f>CALCULATIONS!U15</f>
        <v>LESS THAN 5 PLAYERS</v>
      </c>
    </row>
    <row r="19" spans="2:3" ht="30" customHeight="1" x14ac:dyDescent="0.25">
      <c r="B19" s="5" t="s">
        <v>56</v>
      </c>
      <c r="C19" s="6" t="str">
        <f>CALCULATIONS!U16</f>
        <v>VALID TEAM</v>
      </c>
    </row>
    <row r="20" spans="2:3" ht="30" customHeight="1" x14ac:dyDescent="0.25">
      <c r="B20" s="5" t="s">
        <v>57</v>
      </c>
      <c r="C20" s="6" t="str">
        <f>CALCULATIONS!U17</f>
        <v>LESS THAN 5 PLAYERS</v>
      </c>
    </row>
    <row r="21" spans="2:3" ht="30" customHeight="1" x14ac:dyDescent="0.25">
      <c r="B21" s="5" t="s">
        <v>58</v>
      </c>
      <c r="C21" s="6" t="str">
        <f>CALCULATIONS!U18</f>
        <v>LESS THAN 5 PLAYERS</v>
      </c>
    </row>
    <row r="22" spans="2:3" ht="30" customHeight="1" x14ac:dyDescent="0.25">
      <c r="B22" s="5" t="s">
        <v>59</v>
      </c>
      <c r="C22" s="6" t="str">
        <f>CALCULATIONS!U19</f>
        <v>LESS THAN 5 PLAYERS</v>
      </c>
    </row>
    <row r="23" spans="2:3" ht="30" customHeight="1" x14ac:dyDescent="0.25">
      <c r="B23" s="5" t="s">
        <v>60</v>
      </c>
      <c r="C23" s="6" t="str">
        <f>CALCULATIONS!U20</f>
        <v>LESS THAN 5 PLAYERS</v>
      </c>
    </row>
    <row r="24" spans="2:3" ht="30" customHeight="1" x14ac:dyDescent="0.25">
      <c r="B24" s="5" t="s">
        <v>61</v>
      </c>
      <c r="C24" s="6" t="str">
        <f>CALCULATIONS!U21</f>
        <v>LESS THAN 5 PLAYERS</v>
      </c>
    </row>
    <row r="25" spans="2:3" ht="30" customHeight="1" x14ac:dyDescent="0.25">
      <c r="B25" s="5" t="s">
        <v>62</v>
      </c>
      <c r="C25" s="6" t="str">
        <f>CALCULATIONS!U22</f>
        <v>LESS THAN 5 PLAYERS</v>
      </c>
    </row>
  </sheetData>
  <mergeCells count="3">
    <mergeCell ref="B1:C1"/>
    <mergeCell ref="B3:C3"/>
    <mergeCell ref="B2:C2"/>
  </mergeCells>
  <conditionalFormatting sqref="B5:C25">
    <cfRule type="expression" dxfId="3" priority="2">
      <formula>$C5="VALID TEAM"</formula>
    </cfRule>
    <cfRule type="expression" dxfId="2" priority="1">
      <formula>$C5&lt;&gt;"VALID TEAM"</formula>
    </cfRule>
  </conditionalFormatting>
  <hyperlinks>
    <hyperlink ref="B5" location="'Alexa Amesimeku'!A1" display="Alexa Amesimeku" xr:uid="{00000000-0004-0000-0100-000000000000}"/>
    <hyperlink ref="B6" location="'Alfie Foley'!A1" display="Alfie Foley" xr:uid="{00000000-0004-0000-0100-000001000000}"/>
    <hyperlink ref="B7" location="'Alyza Rai'!A1" display="Alyza Rai" xr:uid="{00000000-0004-0000-0100-000002000000}"/>
    <hyperlink ref="B8" location="'Ava Swinfen'!A1" display="Ava Swinfen" xr:uid="{00000000-0004-0000-0100-000003000000}"/>
    <hyperlink ref="B9" location="'Azlan Husain'!A1" display="Azlan Husain" xr:uid="{00000000-0004-0000-0100-000004000000}"/>
    <hyperlink ref="B10" location="'Chinedu Chile'!A1" display="Chinedu Chile" xr:uid="{00000000-0004-0000-0100-000005000000}"/>
    <hyperlink ref="B11" location="'Daniel Liu'!A1" display="Daniel Liu" xr:uid="{00000000-0004-0000-0100-000006000000}"/>
    <hyperlink ref="B12" location="'David Wu'!A1" display="David Wu" xr:uid="{00000000-0004-0000-0100-000007000000}"/>
    <hyperlink ref="B13" location="'Edwin Mayers'!A1" display="Edwin Mayers" xr:uid="{00000000-0004-0000-0100-000008000000}"/>
    <hyperlink ref="B14" location="'Emily Warburton'!A1" display="Emily Warburton" xr:uid="{00000000-0004-0000-0100-000009000000}"/>
    <hyperlink ref="B15" location="'Esme Beston'!A1" display="Esme Beston" xr:uid="{00000000-0004-0000-0100-00000A000000}"/>
    <hyperlink ref="B16" location="'Iona Smith'!A1" display="Iona Smith" xr:uid="{00000000-0004-0000-0100-00000B000000}"/>
    <hyperlink ref="B17" location="'Joe Paige'!A1" display="Joe Paige" xr:uid="{00000000-0004-0000-0100-00000C000000}"/>
    <hyperlink ref="B18" location="'Lia Li'!A1" display="Lia Li" xr:uid="{00000000-0004-0000-0100-00000D000000}"/>
    <hyperlink ref="B19" location="'Melody Zhaeentan'!A1" display="Melody Zhaeentan" xr:uid="{00000000-0004-0000-0100-00000E000000}"/>
    <hyperlink ref="B20" location="'Nina De Saram'!A1" display="Nina De Saram" xr:uid="{00000000-0004-0000-0100-00000F000000}"/>
    <hyperlink ref="B21" location="'Oscar Day-Duran'!A1" display="Oscar Day-Duran" xr:uid="{00000000-0004-0000-0100-000010000000}"/>
    <hyperlink ref="B22" location="'Rebecca Seymour'!A1" display="Rebecca Seymour" xr:uid="{00000000-0004-0000-0100-000011000000}"/>
    <hyperlink ref="B23" location="'Rory Bowman'!A1" display="Rory Bowman" xr:uid="{00000000-0004-0000-0100-000012000000}"/>
    <hyperlink ref="B24" location="'Sophie Barker'!A1" display="Sophie Barker" xr:uid="{00000000-0004-0000-0100-000013000000}"/>
    <hyperlink ref="B25" location="'Xander Meijer'!A1" display="Xander Meijer" xr:uid="{00000000-0004-0000-0100-000014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59E0B"/>
  </sheetPr>
  <dimension ref="B1:C30"/>
  <sheetViews>
    <sheetView showGridLines="0" zoomScale="90" workbookViewId="0">
      <selection activeCell="R16" sqref="R16"/>
    </sheetView>
  </sheetViews>
  <sheetFormatPr defaultRowHeight="15" x14ac:dyDescent="0.25"/>
  <cols>
    <col min="1" max="1" width="4" customWidth="1"/>
    <col min="2" max="2" width="32" customWidth="1"/>
    <col min="3" max="3" width="42" customWidth="1"/>
  </cols>
  <sheetData>
    <row r="1" spans="2:3" ht="51.95" customHeight="1" x14ac:dyDescent="0.25">
      <c r="B1" s="26" t="s">
        <v>63</v>
      </c>
      <c r="C1" s="27"/>
    </row>
    <row r="2" spans="2:3" ht="30" customHeight="1" x14ac:dyDescent="0.25">
      <c r="B2" s="38" t="s">
        <v>64</v>
      </c>
      <c r="C2" s="27"/>
    </row>
    <row r="3" spans="2:3" ht="12" customHeight="1" x14ac:dyDescent="0.25">
      <c r="B3" s="27"/>
      <c r="C3" s="27"/>
    </row>
    <row r="4" spans="2:3" ht="32.1" customHeight="1" x14ac:dyDescent="0.25">
      <c r="B4" s="4" t="s">
        <v>65</v>
      </c>
      <c r="C4" s="4" t="s">
        <v>66</v>
      </c>
    </row>
    <row r="5" spans="2:3" ht="30" customHeight="1" x14ac:dyDescent="0.25">
      <c r="B5" s="7" t="s">
        <v>42</v>
      </c>
      <c r="C5" s="8"/>
    </row>
    <row r="6" spans="2:3" ht="30" customHeight="1" x14ac:dyDescent="0.25">
      <c r="B6" s="7" t="s">
        <v>43</v>
      </c>
      <c r="C6" s="8"/>
    </row>
    <row r="7" spans="2:3" ht="30" customHeight="1" x14ac:dyDescent="0.25">
      <c r="B7" s="7" t="s">
        <v>44</v>
      </c>
      <c r="C7" s="8"/>
    </row>
    <row r="8" spans="2:3" ht="30" customHeight="1" x14ac:dyDescent="0.25">
      <c r="B8" s="7" t="s">
        <v>45</v>
      </c>
      <c r="C8" s="8"/>
    </row>
    <row r="9" spans="2:3" ht="30" customHeight="1" x14ac:dyDescent="0.25">
      <c r="B9" s="7" t="s">
        <v>46</v>
      </c>
      <c r="C9" s="8"/>
    </row>
    <row r="10" spans="2:3" ht="30" customHeight="1" x14ac:dyDescent="0.25">
      <c r="B10" s="7" t="s">
        <v>47</v>
      </c>
      <c r="C10" s="8"/>
    </row>
    <row r="11" spans="2:3" ht="30" customHeight="1" x14ac:dyDescent="0.25">
      <c r="B11" s="7" t="s">
        <v>48</v>
      </c>
      <c r="C11" s="8"/>
    </row>
    <row r="12" spans="2:3" ht="30" customHeight="1" x14ac:dyDescent="0.25">
      <c r="B12" s="7" t="s">
        <v>49</v>
      </c>
      <c r="C12" s="8"/>
    </row>
    <row r="13" spans="2:3" ht="30" customHeight="1" x14ac:dyDescent="0.25">
      <c r="B13" s="7" t="s">
        <v>50</v>
      </c>
      <c r="C13" s="8"/>
    </row>
    <row r="14" spans="2:3" ht="30" customHeight="1" x14ac:dyDescent="0.25">
      <c r="B14" s="7" t="s">
        <v>51</v>
      </c>
      <c r="C14" s="8"/>
    </row>
    <row r="15" spans="2:3" ht="30" customHeight="1" x14ac:dyDescent="0.25">
      <c r="B15" s="7" t="s">
        <v>52</v>
      </c>
      <c r="C15" s="8"/>
    </row>
    <row r="16" spans="2:3" ht="30" customHeight="1" x14ac:dyDescent="0.25">
      <c r="B16" s="7" t="s">
        <v>53</v>
      </c>
      <c r="C16" s="8"/>
    </row>
    <row r="17" spans="2:3" ht="30" customHeight="1" x14ac:dyDescent="0.25">
      <c r="B17" s="7" t="s">
        <v>54</v>
      </c>
      <c r="C17" s="8"/>
    </row>
    <row r="18" spans="2:3" ht="30" customHeight="1" x14ac:dyDescent="0.25">
      <c r="B18" s="7" t="s">
        <v>55</v>
      </c>
      <c r="C18" s="8"/>
    </row>
    <row r="19" spans="2:3" ht="30" customHeight="1" x14ac:dyDescent="0.25">
      <c r="B19" s="7" t="s">
        <v>56</v>
      </c>
      <c r="C19" s="8"/>
    </row>
    <row r="20" spans="2:3" ht="30" customHeight="1" x14ac:dyDescent="0.25">
      <c r="B20" s="7" t="s">
        <v>57</v>
      </c>
      <c r="C20" s="8"/>
    </row>
    <row r="21" spans="2:3" ht="30" customHeight="1" x14ac:dyDescent="0.25">
      <c r="B21" s="7" t="s">
        <v>58</v>
      </c>
      <c r="C21" s="8"/>
    </row>
    <row r="22" spans="2:3" ht="30" customHeight="1" x14ac:dyDescent="0.25">
      <c r="B22" s="7" t="s">
        <v>59</v>
      </c>
      <c r="C22" s="8"/>
    </row>
    <row r="23" spans="2:3" ht="30" customHeight="1" x14ac:dyDescent="0.25">
      <c r="B23" s="7" t="s">
        <v>60</v>
      </c>
      <c r="C23" s="8"/>
    </row>
    <row r="24" spans="2:3" ht="30" customHeight="1" x14ac:dyDescent="0.25">
      <c r="B24" s="7" t="s">
        <v>61</v>
      </c>
      <c r="C24" s="8"/>
    </row>
    <row r="25" spans="2:3" ht="30" customHeight="1" x14ac:dyDescent="0.25">
      <c r="B25" s="7" t="s">
        <v>62</v>
      </c>
      <c r="C25" s="8"/>
    </row>
    <row r="28" spans="2:3" x14ac:dyDescent="0.25">
      <c r="B28" s="37" t="s">
        <v>67</v>
      </c>
      <c r="C28" s="27"/>
    </row>
    <row r="29" spans="2:3" x14ac:dyDescent="0.25">
      <c r="B29" s="27"/>
      <c r="C29" s="27"/>
    </row>
    <row r="30" spans="2:3" x14ac:dyDescent="0.25">
      <c r="B30" s="27"/>
      <c r="C30" s="27"/>
    </row>
  </sheetData>
  <mergeCells count="4">
    <mergeCell ref="B1:C1"/>
    <mergeCell ref="B3:C3"/>
    <mergeCell ref="B28:C30"/>
    <mergeCell ref="B2:C2"/>
  </mergeCells>
  <dataValidations count="1">
    <dataValidation type="whole" allowBlank="1" showErrorMessage="1" errorTitle="Invalid percentage" error="Enter a whole number from 0 to 100." sqref="C5:C25" xr:uid="{00000000-0002-0000-0200-000000000000}">
      <formula1>0</formula1>
      <formula2>100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563EB"/>
  </sheetPr>
  <dimension ref="B1:E30"/>
  <sheetViews>
    <sheetView showGridLines="0" zoomScale="90" workbookViewId="0"/>
  </sheetViews>
  <sheetFormatPr defaultRowHeight="15" x14ac:dyDescent="0.25"/>
  <cols>
    <col min="1" max="1" width="4" customWidth="1"/>
    <col min="2" max="2" width="34" customWidth="1"/>
    <col min="3" max="4" width="14" customWidth="1"/>
    <col min="5" max="5" width="20" customWidth="1"/>
  </cols>
  <sheetData>
    <row r="1" spans="2:5" ht="51.95" customHeight="1" x14ac:dyDescent="0.25">
      <c r="B1" s="26" t="s">
        <v>68</v>
      </c>
      <c r="C1" s="27"/>
      <c r="D1" s="27"/>
      <c r="E1" s="27"/>
    </row>
    <row r="2" spans="2:5" ht="30" customHeight="1" x14ac:dyDescent="0.25">
      <c r="B2" s="28" t="s">
        <v>69</v>
      </c>
      <c r="C2" s="27"/>
      <c r="D2" s="27"/>
      <c r="E2" s="27"/>
    </row>
    <row r="3" spans="2:5" ht="12" customHeight="1" x14ac:dyDescent="0.25">
      <c r="B3" s="27"/>
      <c r="C3" s="27"/>
      <c r="D3" s="27"/>
      <c r="E3" s="27"/>
    </row>
    <row r="4" spans="2:5" ht="32.1" customHeight="1" x14ac:dyDescent="0.25">
      <c r="B4" s="4" t="s">
        <v>70</v>
      </c>
      <c r="C4" s="4" t="s">
        <v>71</v>
      </c>
      <c r="D4" s="4" t="s">
        <v>72</v>
      </c>
      <c r="E4" s="4" t="s">
        <v>73</v>
      </c>
    </row>
    <row r="5" spans="2:5" ht="27.95" customHeight="1" x14ac:dyDescent="0.25">
      <c r="B5" s="7" t="str">
        <f>CALCULATIONS!A2</f>
        <v>Lia Li</v>
      </c>
      <c r="C5" s="10">
        <f>CALCULATIONS!C2</f>
        <v>13</v>
      </c>
      <c r="D5" s="11">
        <f>CALCULATIONS!F2</f>
        <v>0</v>
      </c>
      <c r="E5" s="12">
        <f>COUNTIF(CALCULATIONS!$L$2:$P$22,CALCULATIONS!W2)/COUNTA(CALCULATIONS!$K$2:$K$22)</f>
        <v>0.14285714285714285</v>
      </c>
    </row>
    <row r="6" spans="2:5" ht="27.95" customHeight="1" x14ac:dyDescent="0.25">
      <c r="B6" s="3" t="str">
        <f>CALCULATIONS!A3</f>
        <v>Sophie Barker</v>
      </c>
      <c r="C6" s="13">
        <f>CALCULATIONS!C3</f>
        <v>13</v>
      </c>
      <c r="D6" s="14">
        <f>CALCULATIONS!F3</f>
        <v>0</v>
      </c>
      <c r="E6" s="15">
        <f>COUNTIF(CALCULATIONS!$L$2:$P$22,CALCULATIONS!W3)/COUNTA(CALCULATIONS!$K$2:$K$22)</f>
        <v>9.5238095238095233E-2</v>
      </c>
    </row>
    <row r="7" spans="2:5" ht="27.95" customHeight="1" x14ac:dyDescent="0.25">
      <c r="B7" s="7" t="str">
        <f>CALCULATIONS!A4</f>
        <v>Chinedu Chile</v>
      </c>
      <c r="C7" s="10">
        <f>CALCULATIONS!C4</f>
        <v>11</v>
      </c>
      <c r="D7" s="11">
        <f>CALCULATIONS!F4</f>
        <v>0</v>
      </c>
      <c r="E7" s="12">
        <f>COUNTIF(CALCULATIONS!$L$2:$P$22,CALCULATIONS!W4)/COUNTA(CALCULATIONS!$K$2:$K$22)</f>
        <v>9.5238095238095233E-2</v>
      </c>
    </row>
    <row r="8" spans="2:5" ht="27.95" customHeight="1" x14ac:dyDescent="0.25">
      <c r="B8" s="3" t="str">
        <f>CALCULATIONS!A5</f>
        <v>Emily Warburton</v>
      </c>
      <c r="C8" s="13">
        <f>CALCULATIONS!C5</f>
        <v>11</v>
      </c>
      <c r="D8" s="14">
        <f>CALCULATIONS!F5</f>
        <v>0</v>
      </c>
      <c r="E8" s="15">
        <f>COUNTIF(CALCULATIONS!$L$2:$P$22,CALCULATIONS!W5)/COUNTA(CALCULATIONS!$K$2:$K$22)</f>
        <v>4.7619047619047616E-2</v>
      </c>
    </row>
    <row r="9" spans="2:5" ht="27.95" customHeight="1" x14ac:dyDescent="0.25">
      <c r="B9" s="7" t="str">
        <f>CALCULATIONS!A6</f>
        <v>Alyza Rai</v>
      </c>
      <c r="C9" s="10">
        <f>CALCULATIONS!C6</f>
        <v>10.5</v>
      </c>
      <c r="D9" s="11">
        <f>CALCULATIONS!F6</f>
        <v>0</v>
      </c>
      <c r="E9" s="12">
        <f>COUNTIF(CALCULATIONS!$L$2:$P$22,CALCULATIONS!W6)/COUNTA(CALCULATIONS!$K$2:$K$22)</f>
        <v>4.7619047619047616E-2</v>
      </c>
    </row>
    <row r="10" spans="2:5" ht="27.95" customHeight="1" x14ac:dyDescent="0.25">
      <c r="B10" s="3" t="str">
        <f>CALCULATIONS!A7</f>
        <v>David Wu</v>
      </c>
      <c r="C10" s="13">
        <f>CALCULATIONS!C7</f>
        <v>10.5</v>
      </c>
      <c r="D10" s="14">
        <f>CALCULATIONS!F7</f>
        <v>0</v>
      </c>
      <c r="E10" s="15">
        <f>COUNTIF(CALCULATIONS!$L$2:$P$22,CALCULATIONS!W7)/COUNTA(CALCULATIONS!$K$2:$K$22)</f>
        <v>0.19047619047619047</v>
      </c>
    </row>
    <row r="11" spans="2:5" ht="27.95" customHeight="1" x14ac:dyDescent="0.25">
      <c r="B11" s="7" t="str">
        <f>CALCULATIONS!A8</f>
        <v>Joe Paige</v>
      </c>
      <c r="C11" s="10">
        <f>CALCULATIONS!C8</f>
        <v>10.5</v>
      </c>
      <c r="D11" s="11">
        <f>CALCULATIONS!F8</f>
        <v>0</v>
      </c>
      <c r="E11" s="12">
        <f>COUNTIF(CALCULATIONS!$L$2:$P$22,CALCULATIONS!W8)/COUNTA(CALCULATIONS!$K$2:$K$22)</f>
        <v>9.5238095238095233E-2</v>
      </c>
    </row>
    <row r="12" spans="2:5" ht="27.95" customHeight="1" x14ac:dyDescent="0.25">
      <c r="B12" s="3" t="str">
        <f>CALCULATIONS!A9</f>
        <v>Azlan Husain</v>
      </c>
      <c r="C12" s="13">
        <f>CALCULATIONS!C9</f>
        <v>10</v>
      </c>
      <c r="D12" s="14">
        <f>CALCULATIONS!F9</f>
        <v>0</v>
      </c>
      <c r="E12" s="15">
        <f>COUNTIF(CALCULATIONS!$L$2:$P$22,CALCULATIONS!W9)/COUNTA(CALCULATIONS!$K$2:$K$22)</f>
        <v>4.7619047619047616E-2</v>
      </c>
    </row>
    <row r="13" spans="2:5" ht="27.95" customHeight="1" x14ac:dyDescent="0.25">
      <c r="B13" s="7" t="str">
        <f>CALCULATIONS!A10</f>
        <v>Nina De Saram</v>
      </c>
      <c r="C13" s="10">
        <f>CALCULATIONS!C10</f>
        <v>10</v>
      </c>
      <c r="D13" s="11">
        <f>CALCULATIONS!F10</f>
        <v>0</v>
      </c>
      <c r="E13" s="12">
        <f>COUNTIF(CALCULATIONS!$L$2:$P$22,CALCULATIONS!W10)/COUNTA(CALCULATIONS!$K$2:$K$22)</f>
        <v>0</v>
      </c>
    </row>
    <row r="14" spans="2:5" ht="27.95" customHeight="1" x14ac:dyDescent="0.25">
      <c r="B14" s="3" t="str">
        <f>CALCULATIONS!A11</f>
        <v>Alexa Amesimeku</v>
      </c>
      <c r="C14" s="13">
        <f>CALCULATIONS!C11</f>
        <v>9.5</v>
      </c>
      <c r="D14" s="14">
        <f>CALCULATIONS!F11</f>
        <v>0</v>
      </c>
      <c r="E14" s="15">
        <f>COUNTIF(CALCULATIONS!$L$2:$P$22,CALCULATIONS!W11)/COUNTA(CALCULATIONS!$K$2:$K$22)</f>
        <v>4.7619047619047616E-2</v>
      </c>
    </row>
    <row r="15" spans="2:5" ht="27.95" customHeight="1" x14ac:dyDescent="0.25">
      <c r="B15" s="7" t="str">
        <f>CALCULATIONS!A12</f>
        <v>Daniel Liu</v>
      </c>
      <c r="C15" s="10">
        <f>CALCULATIONS!C12</f>
        <v>9.5</v>
      </c>
      <c r="D15" s="11">
        <f>CALCULATIONS!F12</f>
        <v>0</v>
      </c>
      <c r="E15" s="12">
        <f>COUNTIF(CALCULATIONS!$L$2:$P$22,CALCULATIONS!W12)/COUNTA(CALCULATIONS!$K$2:$K$22)</f>
        <v>4.7619047619047616E-2</v>
      </c>
    </row>
    <row r="16" spans="2:5" ht="27.95" customHeight="1" x14ac:dyDescent="0.25">
      <c r="B16" s="3" t="str">
        <f>CALCULATIONS!A13</f>
        <v>Rebecca Seymour</v>
      </c>
      <c r="C16" s="13">
        <f>CALCULATIONS!C13</f>
        <v>9.5</v>
      </c>
      <c r="D16" s="14">
        <f>CALCULATIONS!F13</f>
        <v>0</v>
      </c>
      <c r="E16" s="15">
        <f>COUNTIF(CALCULATIONS!$L$2:$P$22,CALCULATIONS!W13)/COUNTA(CALCULATIONS!$K$2:$K$22)</f>
        <v>0</v>
      </c>
    </row>
    <row r="17" spans="2:5" ht="27.95" customHeight="1" x14ac:dyDescent="0.25">
      <c r="B17" s="7" t="str">
        <f>CALCULATIONS!A14</f>
        <v>Edwin Mayers</v>
      </c>
      <c r="C17" s="10">
        <f>CALCULATIONS!C14</f>
        <v>9</v>
      </c>
      <c r="D17" s="11">
        <f>CALCULATIONS!F14</f>
        <v>0</v>
      </c>
      <c r="E17" s="12">
        <f>COUNTIF(CALCULATIONS!$L$2:$P$22,CALCULATIONS!W14)/COUNTA(CALCULATIONS!$K$2:$K$22)</f>
        <v>0.23809523809523808</v>
      </c>
    </row>
    <row r="18" spans="2:5" ht="27.95" customHeight="1" x14ac:dyDescent="0.25">
      <c r="B18" s="3" t="str">
        <f>CALCULATIONS!A15</f>
        <v>Melody Zhaeentan</v>
      </c>
      <c r="C18" s="13">
        <f>CALCULATIONS!C15</f>
        <v>8.5</v>
      </c>
      <c r="D18" s="14">
        <f>CALCULATIONS!F15</f>
        <v>0</v>
      </c>
      <c r="E18" s="15">
        <f>COUNTIF(CALCULATIONS!$L$2:$P$22,CALCULATIONS!W15)/COUNTA(CALCULATIONS!$K$2:$K$22)</f>
        <v>4.7619047619047616E-2</v>
      </c>
    </row>
    <row r="19" spans="2:5" ht="27.95" customHeight="1" x14ac:dyDescent="0.25">
      <c r="B19" s="7" t="str">
        <f>CALCULATIONS!A16</f>
        <v>Esme Beston</v>
      </c>
      <c r="C19" s="10">
        <f>CALCULATIONS!C16</f>
        <v>8</v>
      </c>
      <c r="D19" s="11">
        <f>CALCULATIONS!F16</f>
        <v>0</v>
      </c>
      <c r="E19" s="12">
        <f>COUNTIF(CALCULATIONS!$L$2:$P$22,CALCULATIONS!W16)/COUNTA(CALCULATIONS!$K$2:$K$22)</f>
        <v>4.7619047619047616E-2</v>
      </c>
    </row>
    <row r="20" spans="2:5" ht="27.95" customHeight="1" x14ac:dyDescent="0.25">
      <c r="B20" s="3" t="str">
        <f>CALCULATIONS!A17</f>
        <v>Iona Smith</v>
      </c>
      <c r="C20" s="13">
        <f>CALCULATIONS!C17</f>
        <v>8</v>
      </c>
      <c r="D20" s="14">
        <f>CALCULATIONS!F17</f>
        <v>0</v>
      </c>
      <c r="E20" s="15">
        <f>COUNTIF(CALCULATIONS!$L$2:$P$22,CALCULATIONS!W17)/COUNTA(CALCULATIONS!$K$2:$K$22)</f>
        <v>0</v>
      </c>
    </row>
    <row r="21" spans="2:5" ht="27.95" customHeight="1" x14ac:dyDescent="0.25">
      <c r="B21" s="7" t="str">
        <f>CALCULATIONS!A18</f>
        <v>Oscar Day-Duran</v>
      </c>
      <c r="C21" s="10">
        <f>CALCULATIONS!C18</f>
        <v>8</v>
      </c>
      <c r="D21" s="11">
        <f>CALCULATIONS!F18</f>
        <v>0</v>
      </c>
      <c r="E21" s="12">
        <f>COUNTIF(CALCULATIONS!$L$2:$P$22,CALCULATIONS!W18)/COUNTA(CALCULATIONS!$K$2:$K$22)</f>
        <v>0</v>
      </c>
    </row>
    <row r="22" spans="2:5" ht="27.95" customHeight="1" x14ac:dyDescent="0.25">
      <c r="B22" s="3" t="str">
        <f>CALCULATIONS!A19</f>
        <v>Alfie Foley</v>
      </c>
      <c r="C22" s="13">
        <f>CALCULATIONS!C19</f>
        <v>7.5</v>
      </c>
      <c r="D22" s="14">
        <f>CALCULATIONS!F19</f>
        <v>0</v>
      </c>
      <c r="E22" s="15">
        <f>COUNTIF(CALCULATIONS!$L$2:$P$22,CALCULATIONS!W19)/COUNTA(CALCULATIONS!$K$2:$K$22)</f>
        <v>0</v>
      </c>
    </row>
    <row r="23" spans="2:5" ht="27.95" customHeight="1" x14ac:dyDescent="0.25">
      <c r="B23" s="7" t="str">
        <f>CALCULATIONS!A20</f>
        <v>Ava Swinfen</v>
      </c>
      <c r="C23" s="10">
        <f>CALCULATIONS!C20</f>
        <v>7</v>
      </c>
      <c r="D23" s="11">
        <f>CALCULATIONS!F20</f>
        <v>0</v>
      </c>
      <c r="E23" s="12">
        <f>COUNTIF(CALCULATIONS!$L$2:$P$22,CALCULATIONS!W20)/COUNTA(CALCULATIONS!$K$2:$K$22)</f>
        <v>9.5238095238095233E-2</v>
      </c>
    </row>
    <row r="24" spans="2:5" ht="27.95" customHeight="1" x14ac:dyDescent="0.25">
      <c r="B24" s="3" t="str">
        <f>CALCULATIONS!A21</f>
        <v>Rory Bowman</v>
      </c>
      <c r="C24" s="13">
        <f>CALCULATIONS!C21</f>
        <v>7</v>
      </c>
      <c r="D24" s="14">
        <f>CALCULATIONS!F21</f>
        <v>0</v>
      </c>
      <c r="E24" s="15">
        <f>COUNTIF(CALCULATIONS!$L$2:$P$22,CALCULATIONS!W21)/COUNTA(CALCULATIONS!$K$2:$K$22)</f>
        <v>9.5238095238095233E-2</v>
      </c>
    </row>
    <row r="25" spans="2:5" ht="27.95" customHeight="1" x14ac:dyDescent="0.25">
      <c r="B25" s="7" t="str">
        <f>CALCULATIONS!A22</f>
        <v>Xander Meijer</v>
      </c>
      <c r="C25" s="10">
        <f>CALCULATIONS!C22</f>
        <v>7</v>
      </c>
      <c r="D25" s="11">
        <f>CALCULATIONS!F22</f>
        <v>0</v>
      </c>
      <c r="E25" s="12">
        <f>COUNTIF(CALCULATIONS!$L$2:$P$22,CALCULATIONS!W22)/COUNTA(CALCULATIONS!$K$2:$K$22)</f>
        <v>4.7619047619047616E-2</v>
      </c>
    </row>
    <row r="28" spans="2:5" x14ac:dyDescent="0.25">
      <c r="B28" s="39" t="s">
        <v>74</v>
      </c>
      <c r="C28" s="27"/>
      <c r="D28" s="27"/>
      <c r="E28" s="27"/>
    </row>
    <row r="29" spans="2:5" x14ac:dyDescent="0.25">
      <c r="B29" s="27"/>
      <c r="C29" s="27"/>
      <c r="D29" s="27"/>
      <c r="E29" s="27"/>
    </row>
    <row r="30" spans="2:5" x14ac:dyDescent="0.25">
      <c r="B30" s="27"/>
      <c r="C30" s="27"/>
      <c r="D30" s="27"/>
      <c r="E30" s="27"/>
    </row>
  </sheetData>
  <mergeCells count="4">
    <mergeCell ref="B1:E1"/>
    <mergeCell ref="B3:E3"/>
    <mergeCell ref="B2:E2"/>
    <mergeCell ref="B28:E30"/>
  </mergeCells>
  <conditionalFormatting sqref="D5:D25">
    <cfRule type="expression" dxfId="56" priority="1">
      <formula>D5&gt;0</formula>
    </cfRule>
    <cfRule type="expression" dxfId="55" priority="2">
      <formula>D5&lt;0</formula>
    </cfRule>
    <cfRule type="expression" dxfId="54" priority="3">
      <formula>D5=0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F766E"/>
  </sheetPr>
  <dimension ref="B1:D26"/>
  <sheetViews>
    <sheetView showGridLines="0" zoomScale="90" workbookViewId="0">
      <selection activeCell="B6" sqref="B6"/>
    </sheetView>
  </sheetViews>
  <sheetFormatPr defaultRowHeight="15" x14ac:dyDescent="0.25"/>
  <cols>
    <col min="1" max="1" width="4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26" t="s">
        <v>75</v>
      </c>
      <c r="C1" s="27"/>
      <c r="D1" s="27"/>
    </row>
    <row r="2" spans="2:4" ht="26.1" customHeight="1" x14ac:dyDescent="0.25">
      <c r="B2" s="28" t="s">
        <v>76</v>
      </c>
      <c r="C2" s="27"/>
      <c r="D2" s="27"/>
    </row>
    <row r="3" spans="2:4" ht="38.1" customHeight="1" x14ac:dyDescent="0.25">
      <c r="B3" s="40" t="str">
        <f>IF(MAX($D$6:$D$26)=0,"🏆  OVERALL LEADER:  No results yet","🏆  OVERALL LEADER:  "&amp;INDEX($C$6:$C$26,MATCH(MAX($D$6:$D$26),$D$6:$D$26,0))&amp;"  —  "&amp;MAX($D$6:$D$26)&amp;" pts")</f>
        <v>🏆  OVERALL LEADER:  No results yet</v>
      </c>
      <c r="C3" s="27"/>
      <c r="D3" s="27"/>
    </row>
    <row r="4" spans="2:4" ht="12" customHeight="1" x14ac:dyDescent="0.25">
      <c r="B4" s="27"/>
      <c r="C4" s="27"/>
      <c r="D4" s="27"/>
    </row>
    <row r="5" spans="2:4" ht="32.1" customHeight="1" x14ac:dyDescent="0.25">
      <c r="B5" s="4" t="s">
        <v>77</v>
      </c>
      <c r="C5" s="4" t="s">
        <v>40</v>
      </c>
      <c r="D5" s="4" t="s">
        <v>78</v>
      </c>
    </row>
    <row r="6" spans="2:4" ht="30" customHeight="1" x14ac:dyDescent="0.25">
      <c r="B6" s="16" cm="1">
        <f t="array" ref="B6:D26">_xlfn.LET(_xlpm.m,CALCULATIONS!$K$2:$K$22,_xlpm.pts,SUMIF('1. Raw Results'!$C$2:$C$1000,_xlpm.m,'1. Raw Results'!$D$2:$D$1000),_xlpm.N,ROWS(_xlpm.pts),_xlpm.rnk,MMULT(--(TRANSPOSE(_xlpm.pts)&gt;_xlpm.pts),_xlfn.SEQUENCE(_xlpm.N,,1,0))+1,_xlfn.SORTBY(_xlfn.HSTACK(_xlpm.rnk,_xlpm.m,_xlpm.pts),_xlpm.pts,-1,_xlpm.m,1))</f>
        <v>1</v>
      </c>
      <c r="C6" s="7" t="str">
        <v>Alexa Amesimeku</v>
      </c>
      <c r="D6" s="16">
        <v>0</v>
      </c>
    </row>
    <row r="7" spans="2:4" ht="30" customHeight="1" x14ac:dyDescent="0.25">
      <c r="B7" s="17">
        <v>1</v>
      </c>
      <c r="C7" s="3" t="str">
        <v>Alfie Foley</v>
      </c>
      <c r="D7" s="17">
        <v>0</v>
      </c>
    </row>
    <row r="8" spans="2:4" ht="30" customHeight="1" x14ac:dyDescent="0.25">
      <c r="B8" s="16">
        <v>1</v>
      </c>
      <c r="C8" s="7" t="str">
        <v>Alyza Rai</v>
      </c>
      <c r="D8" s="16">
        <v>0</v>
      </c>
    </row>
    <row r="9" spans="2:4" ht="30" customHeight="1" x14ac:dyDescent="0.25">
      <c r="B9" s="17">
        <v>1</v>
      </c>
      <c r="C9" s="3" t="str">
        <v>Ava Swinfen</v>
      </c>
      <c r="D9" s="17">
        <v>0</v>
      </c>
    </row>
    <row r="10" spans="2:4" ht="30" customHeight="1" x14ac:dyDescent="0.25">
      <c r="B10" s="16">
        <v>1</v>
      </c>
      <c r="C10" s="7" t="str">
        <v>Azlan Husain</v>
      </c>
      <c r="D10" s="16">
        <v>0</v>
      </c>
    </row>
    <row r="11" spans="2:4" ht="30" customHeight="1" x14ac:dyDescent="0.25">
      <c r="B11" s="17">
        <v>1</v>
      </c>
      <c r="C11" s="3" t="str">
        <v>Chinedu Chile</v>
      </c>
      <c r="D11" s="17">
        <v>0</v>
      </c>
    </row>
    <row r="12" spans="2:4" ht="30" customHeight="1" x14ac:dyDescent="0.25">
      <c r="B12" s="16">
        <v>1</v>
      </c>
      <c r="C12" s="7" t="str">
        <v>Daniel Liu</v>
      </c>
      <c r="D12" s="16">
        <v>0</v>
      </c>
    </row>
    <row r="13" spans="2:4" ht="30" customHeight="1" x14ac:dyDescent="0.25">
      <c r="B13" s="17">
        <v>1</v>
      </c>
      <c r="C13" s="3" t="str">
        <v>David Wu</v>
      </c>
      <c r="D13" s="17">
        <v>0</v>
      </c>
    </row>
    <row r="14" spans="2:4" ht="30" customHeight="1" x14ac:dyDescent="0.25">
      <c r="B14" s="16">
        <v>1</v>
      </c>
      <c r="C14" s="7" t="str">
        <v>Edwin Mayers</v>
      </c>
      <c r="D14" s="16">
        <v>0</v>
      </c>
    </row>
    <row r="15" spans="2:4" ht="30" customHeight="1" x14ac:dyDescent="0.25">
      <c r="B15" s="17">
        <v>1</v>
      </c>
      <c r="C15" s="3" t="str">
        <v>Emily Warburton</v>
      </c>
      <c r="D15" s="17">
        <v>0</v>
      </c>
    </row>
    <row r="16" spans="2:4" ht="30" customHeight="1" x14ac:dyDescent="0.25">
      <c r="B16" s="16">
        <v>1</v>
      </c>
      <c r="C16" s="7" t="str">
        <v>Esme Beston</v>
      </c>
      <c r="D16" s="16">
        <v>0</v>
      </c>
    </row>
    <row r="17" spans="2:4" ht="30" customHeight="1" x14ac:dyDescent="0.25">
      <c r="B17" s="17">
        <v>1</v>
      </c>
      <c r="C17" s="3" t="str">
        <v>Iona Smith</v>
      </c>
      <c r="D17" s="17">
        <v>0</v>
      </c>
    </row>
    <row r="18" spans="2:4" ht="30" customHeight="1" x14ac:dyDescent="0.25">
      <c r="B18" s="16">
        <v>1</v>
      </c>
      <c r="C18" s="7" t="str">
        <v>Joe Paige</v>
      </c>
      <c r="D18" s="16">
        <v>0</v>
      </c>
    </row>
    <row r="19" spans="2:4" ht="30" customHeight="1" x14ac:dyDescent="0.25">
      <c r="B19" s="17">
        <v>1</v>
      </c>
      <c r="C19" s="3" t="str">
        <v>Lia Li</v>
      </c>
      <c r="D19" s="17">
        <v>0</v>
      </c>
    </row>
    <row r="20" spans="2:4" ht="30" customHeight="1" x14ac:dyDescent="0.25">
      <c r="B20" s="16">
        <v>1</v>
      </c>
      <c r="C20" s="7" t="str">
        <v>Melody Zhaeentan</v>
      </c>
      <c r="D20" s="16">
        <v>0</v>
      </c>
    </row>
    <row r="21" spans="2:4" ht="30" customHeight="1" x14ac:dyDescent="0.25">
      <c r="B21" s="17">
        <v>1</v>
      </c>
      <c r="C21" s="3" t="str">
        <v>Nina De Saram</v>
      </c>
      <c r="D21" s="17">
        <v>0</v>
      </c>
    </row>
    <row r="22" spans="2:4" ht="30" customHeight="1" x14ac:dyDescent="0.25">
      <c r="B22" s="16">
        <v>1</v>
      </c>
      <c r="C22" s="7" t="str">
        <v>Oscar Day-Duran</v>
      </c>
      <c r="D22" s="16">
        <v>0</v>
      </c>
    </row>
    <row r="23" spans="2:4" ht="30" customHeight="1" x14ac:dyDescent="0.25">
      <c r="B23" s="17">
        <v>1</v>
      </c>
      <c r="C23" s="3" t="str">
        <v>Rebecca Seymour</v>
      </c>
      <c r="D23" s="17">
        <v>0</v>
      </c>
    </row>
    <row r="24" spans="2:4" ht="30" customHeight="1" x14ac:dyDescent="0.25">
      <c r="B24" s="16">
        <v>1</v>
      </c>
      <c r="C24" s="7" t="str">
        <v>Rory Bowman</v>
      </c>
      <c r="D24" s="16">
        <v>0</v>
      </c>
    </row>
    <row r="25" spans="2:4" ht="30" customHeight="1" x14ac:dyDescent="0.25">
      <c r="B25" s="17">
        <v>1</v>
      </c>
      <c r="C25" s="3" t="str">
        <v>Sophie Barker</v>
      </c>
      <c r="D25" s="17">
        <v>0</v>
      </c>
    </row>
    <row r="26" spans="2:4" ht="30" customHeight="1" x14ac:dyDescent="0.25">
      <c r="B26" s="16">
        <v>1</v>
      </c>
      <c r="C26" s="7" t="str">
        <v>Xander Meijer</v>
      </c>
      <c r="D26" s="16">
        <v>0</v>
      </c>
    </row>
  </sheetData>
  <mergeCells count="4">
    <mergeCell ref="B1:D1"/>
    <mergeCell ref="B2:D2"/>
    <mergeCell ref="B4:D4"/>
    <mergeCell ref="B3:D3"/>
  </mergeCells>
  <conditionalFormatting sqref="B6:B26">
    <cfRule type="expression" dxfId="53" priority="1">
      <formula>$B6=1</formula>
    </cfRule>
    <cfRule type="expression" dxfId="52" priority="2">
      <formula>$B6=2</formula>
    </cfRule>
    <cfRule type="expression" dxfId="51" priority="3">
      <formula>$B6=3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D9488"/>
  </sheetPr>
  <dimension ref="B1:D28"/>
  <sheetViews>
    <sheetView showGridLines="0" zoomScale="90" workbookViewId="0">
      <selection activeCell="B8" sqref="B8"/>
    </sheetView>
  </sheetViews>
  <sheetFormatPr defaultRowHeight="15" x14ac:dyDescent="0.25"/>
  <cols>
    <col min="1" max="1" width="10.5703125" customWidth="1"/>
    <col min="2" max="2" width="12" customWidth="1"/>
    <col min="3" max="3" width="32" customWidth="1"/>
    <col min="4" max="4" width="18" customWidth="1"/>
  </cols>
  <sheetData>
    <row r="1" spans="2:4" ht="51.95" customHeight="1" x14ac:dyDescent="0.25">
      <c r="B1" s="26" t="s">
        <v>79</v>
      </c>
      <c r="C1" s="27"/>
      <c r="D1" s="27"/>
    </row>
    <row r="2" spans="2:4" ht="26.1" customHeight="1" x14ac:dyDescent="0.25">
      <c r="B2" s="28" t="s">
        <v>80</v>
      </c>
      <c r="C2" s="27"/>
      <c r="D2" s="27"/>
    </row>
    <row r="3" spans="2:4" ht="30" customHeight="1" x14ac:dyDescent="0.25">
      <c r="B3" s="1" t="s">
        <v>1</v>
      </c>
      <c r="C3" s="2">
        <v>1</v>
      </c>
    </row>
    <row r="4" spans="2:4" ht="9.9499999999999993" customHeight="1" x14ac:dyDescent="0.25">
      <c r="B4" s="27"/>
      <c r="C4" s="27"/>
      <c r="D4" s="27"/>
    </row>
    <row r="5" spans="2:4" ht="38.1" customHeight="1" x14ac:dyDescent="0.25">
      <c r="B5" s="40" t="str">
        <f>IF(MAX($D$8:$D$28)=0,"🏆  GW"&amp;$C$3&amp;" WINNER:  No results yet","🏆  GW"&amp;$C$3&amp;" WINNER:  "&amp;INDEX($C$8:$C$28,MATCH(MAX($D$8:$D$28),$D$8:$D$28,0))&amp;"  —  "&amp;MAX($D$8:$D$28)&amp;" pts")</f>
        <v>🏆  GW1 WINNER:  No results yet</v>
      </c>
      <c r="C5" s="27"/>
      <c r="D5" s="27"/>
    </row>
    <row r="6" spans="2:4" ht="12" customHeight="1" x14ac:dyDescent="0.25">
      <c r="B6" s="27"/>
      <c r="C6" s="27"/>
      <c r="D6" s="27"/>
    </row>
    <row r="7" spans="2:4" ht="32.1" customHeight="1" x14ac:dyDescent="0.25">
      <c r="B7" s="4" t="s">
        <v>77</v>
      </c>
      <c r="C7" s="4" t="s">
        <v>40</v>
      </c>
      <c r="D7" s="4" t="s">
        <v>81</v>
      </c>
    </row>
    <row r="8" spans="2:4" ht="30" customHeight="1" x14ac:dyDescent="0.25">
      <c r="B8" s="16" cm="1">
        <f t="array" ref="B8:D28">_xlfn.LET(_xlpm.m,CALCULATIONS!$K$2:$K$22,_xlpm.pts,SUMIFS('1. Raw Results'!$D$2:$D$1000,'1. Raw Results'!$B$2:$B$1000,"GW"&amp;$C$3,'1. Raw Results'!$C$2:$C$1000,_xlpm.m),_xlpm.N,ROWS(_xlpm.pts),_xlpm.rnk,MMULT(--(TRANSPOSE(_xlpm.pts)&gt;_xlpm.pts),_xlfn.SEQUENCE(_xlpm.N,,1,0))+1,_xlfn.SORTBY(_xlfn.HSTACK(_xlpm.rnk,_xlpm.m,_xlpm.pts),_xlpm.pts,-1,_xlpm.m,1))</f>
        <v>1</v>
      </c>
      <c r="C8" s="7" t="str">
        <v>Alexa Amesimeku</v>
      </c>
      <c r="D8" s="16">
        <v>0</v>
      </c>
    </row>
    <row r="9" spans="2:4" ht="30" customHeight="1" x14ac:dyDescent="0.25">
      <c r="B9" s="17">
        <v>1</v>
      </c>
      <c r="C9" s="3" t="str">
        <v>Alfie Foley</v>
      </c>
      <c r="D9" s="17">
        <v>0</v>
      </c>
    </row>
    <row r="10" spans="2:4" ht="30" customHeight="1" x14ac:dyDescent="0.25">
      <c r="B10" s="16">
        <v>1</v>
      </c>
      <c r="C10" s="7" t="str">
        <v>Alyza Rai</v>
      </c>
      <c r="D10" s="16">
        <v>0</v>
      </c>
    </row>
    <row r="11" spans="2:4" ht="30" customHeight="1" x14ac:dyDescent="0.25">
      <c r="B11" s="17">
        <v>1</v>
      </c>
      <c r="C11" s="3" t="str">
        <v>Ava Swinfen</v>
      </c>
      <c r="D11" s="17">
        <v>0</v>
      </c>
    </row>
    <row r="12" spans="2:4" ht="30" customHeight="1" x14ac:dyDescent="0.25">
      <c r="B12" s="16">
        <v>1</v>
      </c>
      <c r="C12" s="7" t="str">
        <v>Azlan Husain</v>
      </c>
      <c r="D12" s="16">
        <v>0</v>
      </c>
    </row>
    <row r="13" spans="2:4" ht="30" customHeight="1" x14ac:dyDescent="0.25">
      <c r="B13" s="17">
        <v>1</v>
      </c>
      <c r="C13" s="3" t="str">
        <v>Chinedu Chile</v>
      </c>
      <c r="D13" s="17">
        <v>0</v>
      </c>
    </row>
    <row r="14" spans="2:4" ht="30" customHeight="1" x14ac:dyDescent="0.25">
      <c r="B14" s="16">
        <v>1</v>
      </c>
      <c r="C14" s="7" t="str">
        <v>Daniel Liu</v>
      </c>
      <c r="D14" s="16">
        <v>0</v>
      </c>
    </row>
    <row r="15" spans="2:4" ht="30" customHeight="1" x14ac:dyDescent="0.25">
      <c r="B15" s="17">
        <v>1</v>
      </c>
      <c r="C15" s="3" t="str">
        <v>David Wu</v>
      </c>
      <c r="D15" s="17">
        <v>0</v>
      </c>
    </row>
    <row r="16" spans="2:4" ht="30" customHeight="1" x14ac:dyDescent="0.25">
      <c r="B16" s="16">
        <v>1</v>
      </c>
      <c r="C16" s="7" t="str">
        <v>Edwin Mayers</v>
      </c>
      <c r="D16" s="16">
        <v>0</v>
      </c>
    </row>
    <row r="17" spans="2:4" ht="30" customHeight="1" x14ac:dyDescent="0.25">
      <c r="B17" s="17">
        <v>1</v>
      </c>
      <c r="C17" s="3" t="str">
        <v>Emily Warburton</v>
      </c>
      <c r="D17" s="17">
        <v>0</v>
      </c>
    </row>
    <row r="18" spans="2:4" ht="30" customHeight="1" x14ac:dyDescent="0.25">
      <c r="B18" s="16">
        <v>1</v>
      </c>
      <c r="C18" s="7" t="str">
        <v>Esme Beston</v>
      </c>
      <c r="D18" s="16">
        <v>0</v>
      </c>
    </row>
    <row r="19" spans="2:4" ht="30" customHeight="1" x14ac:dyDescent="0.25">
      <c r="B19" s="17">
        <v>1</v>
      </c>
      <c r="C19" s="3" t="str">
        <v>Iona Smith</v>
      </c>
      <c r="D19" s="17">
        <v>0</v>
      </c>
    </row>
    <row r="20" spans="2:4" ht="30" customHeight="1" x14ac:dyDescent="0.25">
      <c r="B20" s="16">
        <v>1</v>
      </c>
      <c r="C20" s="7" t="str">
        <v>Joe Paige</v>
      </c>
      <c r="D20" s="16">
        <v>0</v>
      </c>
    </row>
    <row r="21" spans="2:4" ht="30" customHeight="1" x14ac:dyDescent="0.25">
      <c r="B21" s="17">
        <v>1</v>
      </c>
      <c r="C21" s="3" t="str">
        <v>Lia Li</v>
      </c>
      <c r="D21" s="17">
        <v>0</v>
      </c>
    </row>
    <row r="22" spans="2:4" ht="30" customHeight="1" x14ac:dyDescent="0.25">
      <c r="B22" s="16">
        <v>1</v>
      </c>
      <c r="C22" s="7" t="str">
        <v>Melody Zhaeentan</v>
      </c>
      <c r="D22" s="16">
        <v>0</v>
      </c>
    </row>
    <row r="23" spans="2:4" ht="30" customHeight="1" x14ac:dyDescent="0.25">
      <c r="B23" s="17">
        <v>1</v>
      </c>
      <c r="C23" s="3" t="str">
        <v>Nina De Saram</v>
      </c>
      <c r="D23" s="17">
        <v>0</v>
      </c>
    </row>
    <row r="24" spans="2:4" ht="30" customHeight="1" x14ac:dyDescent="0.25">
      <c r="B24" s="16">
        <v>1</v>
      </c>
      <c r="C24" s="7" t="str">
        <v>Oscar Day-Duran</v>
      </c>
      <c r="D24" s="16">
        <v>0</v>
      </c>
    </row>
    <row r="25" spans="2:4" ht="30" customHeight="1" x14ac:dyDescent="0.25">
      <c r="B25" s="17">
        <v>1</v>
      </c>
      <c r="C25" s="3" t="str">
        <v>Rebecca Seymour</v>
      </c>
      <c r="D25" s="17">
        <v>0</v>
      </c>
    </row>
    <row r="26" spans="2:4" ht="30" customHeight="1" x14ac:dyDescent="0.25">
      <c r="B26" s="16">
        <v>1</v>
      </c>
      <c r="C26" s="7" t="str">
        <v>Rory Bowman</v>
      </c>
      <c r="D26" s="16">
        <v>0</v>
      </c>
    </row>
    <row r="27" spans="2:4" ht="30" customHeight="1" x14ac:dyDescent="0.25">
      <c r="B27" s="17">
        <v>1</v>
      </c>
      <c r="C27" s="3" t="str">
        <v>Sophie Barker</v>
      </c>
      <c r="D27" s="17">
        <v>0</v>
      </c>
    </row>
    <row r="28" spans="2:4" ht="30" customHeight="1" x14ac:dyDescent="0.25">
      <c r="B28" s="16">
        <v>1</v>
      </c>
      <c r="C28" s="7" t="str">
        <v>Xander Meijer</v>
      </c>
      <c r="D28" s="16">
        <v>0</v>
      </c>
    </row>
  </sheetData>
  <mergeCells count="5">
    <mergeCell ref="B5:D5"/>
    <mergeCell ref="B1:D1"/>
    <mergeCell ref="B4:D4"/>
    <mergeCell ref="B6:D6"/>
    <mergeCell ref="B2:D2"/>
  </mergeCells>
  <conditionalFormatting sqref="B8:B28">
    <cfRule type="expression" dxfId="50" priority="1">
      <formula>$B8=1</formula>
    </cfRule>
    <cfRule type="expression" dxfId="49" priority="2">
      <formula>$B8=2</formula>
    </cfRule>
    <cfRule type="expression" dxfId="48" priority="3">
      <formula>$B8=3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475569"/>
  </sheetPr>
  <dimension ref="B1:C25"/>
  <sheetViews>
    <sheetView showGridLines="0" zoomScale="90" workbookViewId="0"/>
  </sheetViews>
  <sheetFormatPr defaultRowHeight="15" x14ac:dyDescent="0.25"/>
  <cols>
    <col min="1" max="1" width="4" customWidth="1"/>
    <col min="2" max="2" width="28" customWidth="1"/>
    <col min="3" max="3" width="72" customWidth="1"/>
  </cols>
  <sheetData>
    <row r="1" spans="2:3" ht="51.95" customHeight="1" x14ac:dyDescent="0.25">
      <c r="B1" s="26" t="s">
        <v>82</v>
      </c>
      <c r="C1" s="27"/>
    </row>
    <row r="4" spans="2:3" ht="39.950000000000003" customHeight="1" x14ac:dyDescent="0.25">
      <c r="B4" s="18" t="s">
        <v>83</v>
      </c>
      <c r="C4" s="19" t="s">
        <v>84</v>
      </c>
    </row>
    <row r="5" spans="2:3" ht="8.1" customHeight="1" x14ac:dyDescent="0.25"/>
    <row r="6" spans="2:3" ht="39.950000000000003" customHeight="1" x14ac:dyDescent="0.25">
      <c r="B6" s="18" t="s">
        <v>85</v>
      </c>
      <c r="C6" s="19" t="s">
        <v>86</v>
      </c>
    </row>
    <row r="7" spans="2:3" ht="8.1" customHeight="1" x14ac:dyDescent="0.25"/>
    <row r="8" spans="2:3" ht="39.950000000000003" customHeight="1" x14ac:dyDescent="0.25">
      <c r="B8" s="18" t="s">
        <v>87</v>
      </c>
      <c r="C8" s="19" t="s">
        <v>88</v>
      </c>
    </row>
    <row r="9" spans="2:3" ht="8.1" customHeight="1" x14ac:dyDescent="0.25"/>
    <row r="10" spans="2:3" ht="39.950000000000003" customHeight="1" x14ac:dyDescent="0.25">
      <c r="B10" s="18" t="s">
        <v>89</v>
      </c>
      <c r="C10" s="19" t="s">
        <v>88</v>
      </c>
    </row>
    <row r="11" spans="2:3" ht="8.1" customHeight="1" x14ac:dyDescent="0.25"/>
    <row r="12" spans="2:3" ht="39.950000000000003" customHeight="1" x14ac:dyDescent="0.25">
      <c r="B12" s="18" t="s">
        <v>90</v>
      </c>
      <c r="C12" s="19" t="s">
        <v>91</v>
      </c>
    </row>
    <row r="13" spans="2:3" ht="8.1" customHeight="1" x14ac:dyDescent="0.25"/>
    <row r="14" spans="2:3" ht="39.950000000000003" customHeight="1" x14ac:dyDescent="0.25">
      <c r="B14" s="18" t="s">
        <v>92</v>
      </c>
      <c r="C14" s="19" t="s">
        <v>93</v>
      </c>
    </row>
    <row r="15" spans="2:3" ht="8.1" customHeight="1" x14ac:dyDescent="0.25"/>
    <row r="16" spans="2:3" ht="39.950000000000003" customHeight="1" x14ac:dyDescent="0.25">
      <c r="B16" s="18" t="s">
        <v>94</v>
      </c>
      <c r="C16" s="19" t="s">
        <v>95</v>
      </c>
    </row>
    <row r="17" spans="2:3" ht="8.1" customHeight="1" x14ac:dyDescent="0.25"/>
    <row r="18" spans="2:3" ht="39.950000000000003" customHeight="1" x14ac:dyDescent="0.25">
      <c r="B18" s="18" t="s">
        <v>96</v>
      </c>
      <c r="C18" s="19" t="s">
        <v>97</v>
      </c>
    </row>
    <row r="19" spans="2:3" ht="8.1" customHeight="1" x14ac:dyDescent="0.25"/>
    <row r="20" spans="2:3" ht="39.950000000000003" customHeight="1" x14ac:dyDescent="0.25">
      <c r="B20" s="18" t="s">
        <v>98</v>
      </c>
      <c r="C20" s="19" t="s">
        <v>99</v>
      </c>
    </row>
    <row r="21" spans="2:3" ht="8.1" customHeight="1" x14ac:dyDescent="0.25"/>
    <row r="22" spans="2:3" ht="39.950000000000003" customHeight="1" x14ac:dyDescent="0.25">
      <c r="B22" s="18" t="s">
        <v>100</v>
      </c>
      <c r="C22" s="19" t="s">
        <v>101</v>
      </c>
    </row>
    <row r="23" spans="2:3" ht="8.1" customHeight="1" x14ac:dyDescent="0.25"/>
    <row r="24" spans="2:3" ht="39.950000000000003" customHeight="1" x14ac:dyDescent="0.25">
      <c r="B24" s="18" t="s">
        <v>102</v>
      </c>
      <c r="C24" s="19" t="s">
        <v>103</v>
      </c>
    </row>
    <row r="25" spans="2:3" ht="8.1" customHeight="1" x14ac:dyDescent="0.25"/>
  </sheetData>
  <mergeCells count="1">
    <mergeCell ref="B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4A3B8"/>
  </sheetPr>
  <dimension ref="B1:D22"/>
  <sheetViews>
    <sheetView zoomScale="90" workbookViewId="0"/>
  </sheetViews>
  <sheetFormatPr defaultRowHeight="15" x14ac:dyDescent="0.25"/>
  <cols>
    <col min="1" max="1" width="4" customWidth="1"/>
    <col min="2" max="2" width="14" customWidth="1"/>
    <col min="3" max="3" width="32" customWidth="1"/>
    <col min="4" max="4" width="14" customWidth="1"/>
  </cols>
  <sheetData>
    <row r="1" spans="2:4" ht="32.1" customHeight="1" x14ac:dyDescent="0.25">
      <c r="B1" s="4" t="s">
        <v>104</v>
      </c>
      <c r="C1" s="4" t="s">
        <v>40</v>
      </c>
      <c r="D1" s="4" t="s">
        <v>105</v>
      </c>
    </row>
    <row r="2" spans="2:4" ht="27.95" customHeight="1" x14ac:dyDescent="0.25">
      <c r="B2" s="16" t="s">
        <v>106</v>
      </c>
      <c r="C2" s="7" t="s">
        <v>42</v>
      </c>
      <c r="D2" s="16">
        <f>CALCULATIONS!T2</f>
        <v>0</v>
      </c>
    </row>
    <row r="3" spans="2:4" ht="27.95" customHeight="1" x14ac:dyDescent="0.25">
      <c r="B3" s="16" t="s">
        <v>106</v>
      </c>
      <c r="C3" s="7" t="s">
        <v>43</v>
      </c>
      <c r="D3" s="16">
        <f>CALCULATIONS!T3</f>
        <v>0</v>
      </c>
    </row>
    <row r="4" spans="2:4" ht="27.95" customHeight="1" x14ac:dyDescent="0.25">
      <c r="B4" s="16" t="s">
        <v>106</v>
      </c>
      <c r="C4" s="7" t="s">
        <v>44</v>
      </c>
      <c r="D4" s="16">
        <f>CALCULATIONS!T4</f>
        <v>0</v>
      </c>
    </row>
    <row r="5" spans="2:4" ht="27.95" customHeight="1" x14ac:dyDescent="0.25">
      <c r="B5" s="16" t="s">
        <v>106</v>
      </c>
      <c r="C5" s="7" t="s">
        <v>45</v>
      </c>
      <c r="D5" s="16">
        <f>CALCULATIONS!T5</f>
        <v>0</v>
      </c>
    </row>
    <row r="6" spans="2:4" ht="27.95" customHeight="1" x14ac:dyDescent="0.25">
      <c r="B6" s="16" t="s">
        <v>106</v>
      </c>
      <c r="C6" s="7" t="s">
        <v>46</v>
      </c>
      <c r="D6" s="16">
        <f>CALCULATIONS!T6</f>
        <v>0</v>
      </c>
    </row>
    <row r="7" spans="2:4" ht="27.95" customHeight="1" x14ac:dyDescent="0.25">
      <c r="B7" s="16" t="s">
        <v>106</v>
      </c>
      <c r="C7" s="7" t="s">
        <v>47</v>
      </c>
      <c r="D7" s="16">
        <f>CALCULATIONS!T7</f>
        <v>0</v>
      </c>
    </row>
    <row r="8" spans="2:4" ht="27.95" customHeight="1" x14ac:dyDescent="0.25">
      <c r="B8" s="16" t="s">
        <v>106</v>
      </c>
      <c r="C8" s="7" t="s">
        <v>48</v>
      </c>
      <c r="D8" s="16">
        <f>CALCULATIONS!T8</f>
        <v>0</v>
      </c>
    </row>
    <row r="9" spans="2:4" ht="27.95" customHeight="1" x14ac:dyDescent="0.25">
      <c r="B9" s="16" t="s">
        <v>106</v>
      </c>
      <c r="C9" s="7" t="s">
        <v>49</v>
      </c>
      <c r="D9" s="16">
        <f>CALCULATIONS!T9</f>
        <v>0</v>
      </c>
    </row>
    <row r="10" spans="2:4" ht="27.95" customHeight="1" x14ac:dyDescent="0.25">
      <c r="B10" s="16" t="s">
        <v>106</v>
      </c>
      <c r="C10" s="7" t="s">
        <v>50</v>
      </c>
      <c r="D10" s="16">
        <f>CALCULATIONS!T10</f>
        <v>0</v>
      </c>
    </row>
    <row r="11" spans="2:4" ht="27.95" customHeight="1" x14ac:dyDescent="0.25">
      <c r="B11" s="16" t="s">
        <v>106</v>
      </c>
      <c r="C11" s="7" t="s">
        <v>51</v>
      </c>
      <c r="D11" s="16">
        <f>CALCULATIONS!T11</f>
        <v>0</v>
      </c>
    </row>
    <row r="12" spans="2:4" ht="27.95" customHeight="1" x14ac:dyDescent="0.25">
      <c r="B12" s="16" t="s">
        <v>106</v>
      </c>
      <c r="C12" s="7" t="s">
        <v>52</v>
      </c>
      <c r="D12" s="16">
        <f>CALCULATIONS!T12</f>
        <v>0</v>
      </c>
    </row>
    <row r="13" spans="2:4" ht="27.95" customHeight="1" x14ac:dyDescent="0.25">
      <c r="B13" s="16" t="s">
        <v>106</v>
      </c>
      <c r="C13" s="7" t="s">
        <v>53</v>
      </c>
      <c r="D13" s="16">
        <f>CALCULATIONS!T13</f>
        <v>0</v>
      </c>
    </row>
    <row r="14" spans="2:4" ht="27.95" customHeight="1" x14ac:dyDescent="0.25">
      <c r="B14" s="16" t="s">
        <v>106</v>
      </c>
      <c r="C14" s="7" t="s">
        <v>54</v>
      </c>
      <c r="D14" s="16">
        <f>CALCULATIONS!T14</f>
        <v>0</v>
      </c>
    </row>
    <row r="15" spans="2:4" ht="27.95" customHeight="1" x14ac:dyDescent="0.25">
      <c r="B15" s="16" t="s">
        <v>106</v>
      </c>
      <c r="C15" s="7" t="s">
        <v>55</v>
      </c>
      <c r="D15" s="16">
        <f>CALCULATIONS!T15</f>
        <v>0</v>
      </c>
    </row>
    <row r="16" spans="2:4" ht="27.95" customHeight="1" x14ac:dyDescent="0.25">
      <c r="B16" s="16" t="s">
        <v>106</v>
      </c>
      <c r="C16" s="7" t="s">
        <v>56</v>
      </c>
      <c r="D16" s="16">
        <f>CALCULATIONS!T16</f>
        <v>0</v>
      </c>
    </row>
    <row r="17" spans="2:4" ht="27.95" customHeight="1" x14ac:dyDescent="0.25">
      <c r="B17" s="16" t="s">
        <v>106</v>
      </c>
      <c r="C17" s="7" t="s">
        <v>57</v>
      </c>
      <c r="D17" s="16">
        <f>CALCULATIONS!T17</f>
        <v>0</v>
      </c>
    </row>
    <row r="18" spans="2:4" ht="27.95" customHeight="1" x14ac:dyDescent="0.25">
      <c r="B18" s="16" t="s">
        <v>106</v>
      </c>
      <c r="C18" s="7" t="s">
        <v>58</v>
      </c>
      <c r="D18" s="16">
        <f>CALCULATIONS!T18</f>
        <v>0</v>
      </c>
    </row>
    <row r="19" spans="2:4" ht="27.95" customHeight="1" x14ac:dyDescent="0.25">
      <c r="B19" s="16" t="s">
        <v>106</v>
      </c>
      <c r="C19" s="7" t="s">
        <v>59</v>
      </c>
      <c r="D19" s="16">
        <f>CALCULATIONS!T19</f>
        <v>0</v>
      </c>
    </row>
    <row r="20" spans="2:4" ht="27.95" customHeight="1" x14ac:dyDescent="0.25">
      <c r="B20" s="16" t="s">
        <v>106</v>
      </c>
      <c r="C20" s="7" t="s">
        <v>60</v>
      </c>
      <c r="D20" s="16">
        <f>CALCULATIONS!T20</f>
        <v>0</v>
      </c>
    </row>
    <row r="21" spans="2:4" ht="27.95" customHeight="1" x14ac:dyDescent="0.25">
      <c r="B21" s="16" t="s">
        <v>106</v>
      </c>
      <c r="C21" s="7" t="s">
        <v>61</v>
      </c>
      <c r="D21" s="16">
        <f>CALCULATIONS!T21</f>
        <v>0</v>
      </c>
    </row>
    <row r="22" spans="2:4" ht="27.95" customHeight="1" x14ac:dyDescent="0.25">
      <c r="B22" s="16" t="s">
        <v>106</v>
      </c>
      <c r="C22" s="7" t="s">
        <v>62</v>
      </c>
      <c r="D22" s="16">
        <f>CALCULATIONS!T22</f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4748B"/>
  </sheetPr>
  <dimension ref="A1:W22"/>
  <sheetViews>
    <sheetView zoomScale="90" workbookViewId="0"/>
  </sheetViews>
  <sheetFormatPr defaultRowHeight="15" x14ac:dyDescent="0.25"/>
  <sheetData>
    <row r="1" spans="1:23" x14ac:dyDescent="0.25">
      <c r="A1" t="s">
        <v>70</v>
      </c>
      <c r="B1" t="s">
        <v>107</v>
      </c>
      <c r="C1" t="s">
        <v>108</v>
      </c>
      <c r="D1" t="s">
        <v>109</v>
      </c>
      <c r="E1" t="s">
        <v>110</v>
      </c>
      <c r="F1" t="s">
        <v>111</v>
      </c>
      <c r="K1" t="s">
        <v>40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  <c r="T1" t="s">
        <v>120</v>
      </c>
      <c r="U1" t="s">
        <v>41</v>
      </c>
      <c r="W1" t="s">
        <v>121</v>
      </c>
    </row>
    <row r="2" spans="1:23" x14ac:dyDescent="0.25">
      <c r="A2" t="s">
        <v>55</v>
      </c>
      <c r="B2">
        <v>13</v>
      </c>
      <c r="C2">
        <f t="shared" ref="C2:C22" si="0">MIN(13,MAX(7,B2))</f>
        <v>13</v>
      </c>
      <c r="D2">
        <f>IFERROR(IF(INDEX('TEST RESULTS'!$C$5:$C$25,MATCH(A2,'TEST RESULTS'!$B$5:$B$25,0))="",0,IF(INDEX('TEST RESULTS'!$C$5:$C$25,MATCH(A2,'TEST RESULTS'!$B$5:$B$25,0))&gt;=95,10,IF(INDEX('TEST RESULTS'!$C$5:$C$25,MATCH(A2,'TEST RESULTS'!$B$5:$B$25,0))&gt;=90,9,IF(INDEX('TEST RESULTS'!$C$5:$C$25,MATCH(A2,'TEST RESULTS'!$B$5:$B$25,0))&gt;=85,8,IF(INDEX('TEST RESULTS'!$C$5:$C$25,MATCH(A2,'TEST RESULTS'!$B$5:$B$25,0))&gt;=80,7,IF(INDEX('TEST RESULTS'!$C$5:$C$25,MATCH(A2,'TEST RESULTS'!$B$5:$B$25,0))&gt;=75,6,IF(INDEX('TEST RESULTS'!$C$5:$C$25,MATCH(A2,'TEST RESULTS'!$B$5:$B$25,0))&gt;=70,5,IF(INDEX('TEST RESULTS'!$C$5:$C$25,MATCH(A2,'TEST RESULTS'!$B$5:$B$25,0))&gt;=65,4,IF(INDEX('TEST RESULTS'!$C$5:$C$25,MATCH(A2,'TEST RESULTS'!$B$5:$B$25,0))&gt;=60,3,0))))))))),0)</f>
        <v>0</v>
      </c>
      <c r="F2">
        <f>IF(INDEX('TEST RESULTS'!$C$5:$C$25,MATCH(A2,'TEST RESULTS'!$B$5:$B$25,0))="",0,IF(E2="",0,IF(D2&gt;E2,0.1,IF(D2&lt;E2,-0.1,0))))</f>
        <v>0</v>
      </c>
      <c r="K2" t="s">
        <v>42</v>
      </c>
      <c r="L2">
        <f>'Alexa Amesimeku'!C10</f>
        <v>0</v>
      </c>
      <c r="M2">
        <f>'Alexa Amesimeku'!C11</f>
        <v>0</v>
      </c>
      <c r="N2">
        <f>'Alexa Amesimeku'!C12</f>
        <v>0</v>
      </c>
      <c r="O2">
        <f>'Alexa Amesimeku'!C13</f>
        <v>0</v>
      </c>
      <c r="P2">
        <f>'Alexa Amesimeku'!C14</f>
        <v>0</v>
      </c>
      <c r="Q2">
        <f>'Alexa Amesimeku'!C5</f>
        <v>0</v>
      </c>
      <c r="R2">
        <f>'Alexa Amesimeku'!C17</f>
        <v>0</v>
      </c>
      <c r="S2">
        <f>'Alexa Amesimeku'!C18</f>
        <v>50</v>
      </c>
      <c r="T2">
        <f>'Alexa Amesimeku'!C19</f>
        <v>0</v>
      </c>
      <c r="U2" t="str">
        <f>'Alexa Amesimeku'!C20</f>
        <v>LESS THAN 5 PLAYERS</v>
      </c>
      <c r="W2" t="str">
        <f t="shared" ref="W2:W22" si="1">A2&amp;"  —  £"&amp;TEXT(B2,"0.0")&amp;"m"</f>
        <v>Lia Li  —  £13.0m</v>
      </c>
    </row>
    <row r="3" spans="1:23" x14ac:dyDescent="0.25">
      <c r="A3" t="s">
        <v>61</v>
      </c>
      <c r="B3">
        <v>13</v>
      </c>
      <c r="C3">
        <f t="shared" si="0"/>
        <v>13</v>
      </c>
      <c r="D3">
        <f>IFERROR(IF(INDEX('TEST RESULTS'!$C$5:$C$25,MATCH(A3,'TEST RESULTS'!$B$5:$B$25,0))="",0,IF(INDEX('TEST RESULTS'!$C$5:$C$25,MATCH(A3,'TEST RESULTS'!$B$5:$B$25,0))&gt;=95,10,IF(INDEX('TEST RESULTS'!$C$5:$C$25,MATCH(A3,'TEST RESULTS'!$B$5:$B$25,0))&gt;=90,9,IF(INDEX('TEST RESULTS'!$C$5:$C$25,MATCH(A3,'TEST RESULTS'!$B$5:$B$25,0))&gt;=85,8,IF(INDEX('TEST RESULTS'!$C$5:$C$25,MATCH(A3,'TEST RESULTS'!$B$5:$B$25,0))&gt;=80,7,IF(INDEX('TEST RESULTS'!$C$5:$C$25,MATCH(A3,'TEST RESULTS'!$B$5:$B$25,0))&gt;=75,6,IF(INDEX('TEST RESULTS'!$C$5:$C$25,MATCH(A3,'TEST RESULTS'!$B$5:$B$25,0))&gt;=70,5,IF(INDEX('TEST RESULTS'!$C$5:$C$25,MATCH(A3,'TEST RESULTS'!$B$5:$B$25,0))&gt;=65,4,IF(INDEX('TEST RESULTS'!$C$5:$C$25,MATCH(A3,'TEST RESULTS'!$B$5:$B$25,0))&gt;=60,3,0))))))))),0)</f>
        <v>0</v>
      </c>
      <c r="F3">
        <f>IF(INDEX('TEST RESULTS'!$C$5:$C$25,MATCH(A3,'TEST RESULTS'!$B$5:$B$25,0))="",0,IF(E3="",0,IF(D3&gt;E3,0.1,IF(D3&lt;E3,-0.1,0))))</f>
        <v>0</v>
      </c>
      <c r="K3" t="s">
        <v>43</v>
      </c>
      <c r="L3" t="str">
        <f>'Alfie Foley'!C10</f>
        <v>Ava Swinfen  —  £7.0m</v>
      </c>
      <c r="M3" t="str">
        <f>'Alfie Foley'!C11</f>
        <v>David Wu  —  £10.5m</v>
      </c>
      <c r="N3" t="str">
        <f>'Alfie Foley'!C12</f>
        <v>Alyza Rai  —  £10.5m</v>
      </c>
      <c r="O3" t="str">
        <f>'Alfie Foley'!C13</f>
        <v>Sophie Barker  —  £13.0m</v>
      </c>
      <c r="P3" t="str">
        <f>'Alfie Foley'!C14</f>
        <v>Edwin Mayers  —  £9.0m</v>
      </c>
      <c r="Q3" t="str">
        <f>'Alfie Foley'!C5</f>
        <v>Sophie Barker  —  £13.0m</v>
      </c>
      <c r="R3">
        <f>'Alfie Foley'!C17</f>
        <v>50</v>
      </c>
      <c r="S3">
        <f>'Alfie Foley'!C18</f>
        <v>0</v>
      </c>
      <c r="T3">
        <f>'Alfie Foley'!C19</f>
        <v>0</v>
      </c>
      <c r="U3" t="str">
        <f>'Alfie Foley'!C20</f>
        <v>VALID TEAM</v>
      </c>
      <c r="W3" t="str">
        <f t="shared" si="1"/>
        <v>Sophie Barker  —  £13.0m</v>
      </c>
    </row>
    <row r="4" spans="1:23" x14ac:dyDescent="0.25">
      <c r="A4" t="s">
        <v>47</v>
      </c>
      <c r="B4">
        <v>11</v>
      </c>
      <c r="C4">
        <f t="shared" si="0"/>
        <v>11</v>
      </c>
      <c r="D4">
        <f>IFERROR(IF(INDEX('TEST RESULTS'!$C$5:$C$25,MATCH(A4,'TEST RESULTS'!$B$5:$B$25,0))="",0,IF(INDEX('TEST RESULTS'!$C$5:$C$25,MATCH(A4,'TEST RESULTS'!$B$5:$B$25,0))&gt;=95,10,IF(INDEX('TEST RESULTS'!$C$5:$C$25,MATCH(A4,'TEST RESULTS'!$B$5:$B$25,0))&gt;=90,9,IF(INDEX('TEST RESULTS'!$C$5:$C$25,MATCH(A4,'TEST RESULTS'!$B$5:$B$25,0))&gt;=85,8,IF(INDEX('TEST RESULTS'!$C$5:$C$25,MATCH(A4,'TEST RESULTS'!$B$5:$B$25,0))&gt;=80,7,IF(INDEX('TEST RESULTS'!$C$5:$C$25,MATCH(A4,'TEST RESULTS'!$B$5:$B$25,0))&gt;=75,6,IF(INDEX('TEST RESULTS'!$C$5:$C$25,MATCH(A4,'TEST RESULTS'!$B$5:$B$25,0))&gt;=70,5,IF(INDEX('TEST RESULTS'!$C$5:$C$25,MATCH(A4,'TEST RESULTS'!$B$5:$B$25,0))&gt;=65,4,IF(INDEX('TEST RESULTS'!$C$5:$C$25,MATCH(A4,'TEST RESULTS'!$B$5:$B$25,0))&gt;=60,3,0))))))))),0)</f>
        <v>0</v>
      </c>
      <c r="F4">
        <f>IF(INDEX('TEST RESULTS'!$C$5:$C$25,MATCH(A4,'TEST RESULTS'!$B$5:$B$25,0))="",0,IF(E4="",0,IF(D4&gt;E4,0.1,IF(D4&lt;E4,-0.1,0))))</f>
        <v>0</v>
      </c>
      <c r="K4" t="s">
        <v>44</v>
      </c>
      <c r="L4">
        <f>'Alyza Rai'!C10</f>
        <v>0</v>
      </c>
      <c r="M4">
        <f>'Alyza Rai'!C11</f>
        <v>0</v>
      </c>
      <c r="N4">
        <f>'Alyza Rai'!C12</f>
        <v>0</v>
      </c>
      <c r="O4">
        <f>'Alyza Rai'!C13</f>
        <v>0</v>
      </c>
      <c r="P4">
        <f>'Alyza Rai'!C14</f>
        <v>0</v>
      </c>
      <c r="Q4">
        <f>'Alyza Rai'!C5</f>
        <v>0</v>
      </c>
      <c r="R4">
        <f>'Alyza Rai'!C17</f>
        <v>0</v>
      </c>
      <c r="S4">
        <f>'Alyza Rai'!C18</f>
        <v>50</v>
      </c>
      <c r="T4">
        <f>'Alyza Rai'!C19</f>
        <v>0</v>
      </c>
      <c r="U4" t="str">
        <f>'Alyza Rai'!C20</f>
        <v>LESS THAN 5 PLAYERS</v>
      </c>
      <c r="W4" t="str">
        <f t="shared" si="1"/>
        <v>Chinedu Chile  —  £11.0m</v>
      </c>
    </row>
    <row r="5" spans="1:23" x14ac:dyDescent="0.25">
      <c r="A5" t="s">
        <v>51</v>
      </c>
      <c r="B5">
        <v>11</v>
      </c>
      <c r="C5">
        <f t="shared" si="0"/>
        <v>11</v>
      </c>
      <c r="D5">
        <f>IFERROR(IF(INDEX('TEST RESULTS'!$C$5:$C$25,MATCH(A5,'TEST RESULTS'!$B$5:$B$25,0))="",0,IF(INDEX('TEST RESULTS'!$C$5:$C$25,MATCH(A5,'TEST RESULTS'!$B$5:$B$25,0))&gt;=95,10,IF(INDEX('TEST RESULTS'!$C$5:$C$25,MATCH(A5,'TEST RESULTS'!$B$5:$B$25,0))&gt;=90,9,IF(INDEX('TEST RESULTS'!$C$5:$C$25,MATCH(A5,'TEST RESULTS'!$B$5:$B$25,0))&gt;=85,8,IF(INDEX('TEST RESULTS'!$C$5:$C$25,MATCH(A5,'TEST RESULTS'!$B$5:$B$25,0))&gt;=80,7,IF(INDEX('TEST RESULTS'!$C$5:$C$25,MATCH(A5,'TEST RESULTS'!$B$5:$B$25,0))&gt;=75,6,IF(INDEX('TEST RESULTS'!$C$5:$C$25,MATCH(A5,'TEST RESULTS'!$B$5:$B$25,0))&gt;=70,5,IF(INDEX('TEST RESULTS'!$C$5:$C$25,MATCH(A5,'TEST RESULTS'!$B$5:$B$25,0))&gt;=65,4,IF(INDEX('TEST RESULTS'!$C$5:$C$25,MATCH(A5,'TEST RESULTS'!$B$5:$B$25,0))&gt;=60,3,0))))))))),0)</f>
        <v>0</v>
      </c>
      <c r="F5">
        <f>IF(INDEX('TEST RESULTS'!$C$5:$C$25,MATCH(A5,'TEST RESULTS'!$B$5:$B$25,0))="",0,IF(E5="",0,IF(D5&gt;E5,0.1,IF(D5&lt;E5,-0.1,0))))</f>
        <v>0</v>
      </c>
      <c r="K5" t="s">
        <v>45</v>
      </c>
      <c r="L5" t="str">
        <f>'Ava Swinfen'!C10</f>
        <v>Rory Bowman  —  £7.0m</v>
      </c>
      <c r="M5" t="str">
        <f>'Ava Swinfen'!C11</f>
        <v>Melody Zhaeentan  —  £8.5m</v>
      </c>
      <c r="N5" t="str">
        <f>'Ava Swinfen'!C12</f>
        <v>Lia Li  —  £13.0m</v>
      </c>
      <c r="O5" t="str">
        <f>'Ava Swinfen'!C13</f>
        <v>Chinedu Chile  —  £11.0m</v>
      </c>
      <c r="P5" t="str">
        <f>'Ava Swinfen'!C14</f>
        <v>Daniel Liu  —  £9.5m</v>
      </c>
      <c r="Q5" t="str">
        <f>'Ava Swinfen'!C5</f>
        <v>Lia Li  —  £13.0m</v>
      </c>
      <c r="R5">
        <f>'Ava Swinfen'!C17</f>
        <v>49</v>
      </c>
      <c r="S5">
        <f>'Ava Swinfen'!C18</f>
        <v>1</v>
      </c>
      <c r="T5">
        <f>'Ava Swinfen'!C19</f>
        <v>0</v>
      </c>
      <c r="U5" t="str">
        <f>'Ava Swinfen'!C20</f>
        <v>VALID TEAM</v>
      </c>
      <c r="W5" t="str">
        <f t="shared" si="1"/>
        <v>Emily Warburton  —  £11.0m</v>
      </c>
    </row>
    <row r="6" spans="1:23" x14ac:dyDescent="0.25">
      <c r="A6" t="s">
        <v>44</v>
      </c>
      <c r="B6">
        <v>10.5</v>
      </c>
      <c r="C6">
        <f t="shared" si="0"/>
        <v>10.5</v>
      </c>
      <c r="D6">
        <f>IFERROR(IF(INDEX('TEST RESULTS'!$C$5:$C$25,MATCH(A6,'TEST RESULTS'!$B$5:$B$25,0))="",0,IF(INDEX('TEST RESULTS'!$C$5:$C$25,MATCH(A6,'TEST RESULTS'!$B$5:$B$25,0))&gt;=95,10,IF(INDEX('TEST RESULTS'!$C$5:$C$25,MATCH(A6,'TEST RESULTS'!$B$5:$B$25,0))&gt;=90,9,IF(INDEX('TEST RESULTS'!$C$5:$C$25,MATCH(A6,'TEST RESULTS'!$B$5:$B$25,0))&gt;=85,8,IF(INDEX('TEST RESULTS'!$C$5:$C$25,MATCH(A6,'TEST RESULTS'!$B$5:$B$25,0))&gt;=80,7,IF(INDEX('TEST RESULTS'!$C$5:$C$25,MATCH(A6,'TEST RESULTS'!$B$5:$B$25,0))&gt;=75,6,IF(INDEX('TEST RESULTS'!$C$5:$C$25,MATCH(A6,'TEST RESULTS'!$B$5:$B$25,0))&gt;=70,5,IF(INDEX('TEST RESULTS'!$C$5:$C$25,MATCH(A6,'TEST RESULTS'!$B$5:$B$25,0))&gt;=65,4,IF(INDEX('TEST RESULTS'!$C$5:$C$25,MATCH(A6,'TEST RESULTS'!$B$5:$B$25,0))&gt;=60,3,0))))))))),0)</f>
        <v>0</v>
      </c>
      <c r="F6">
        <f>IF(INDEX('TEST RESULTS'!$C$5:$C$25,MATCH(A6,'TEST RESULTS'!$B$5:$B$25,0))="",0,IF(E6="",0,IF(D6&gt;E6,0.1,IF(D6&lt;E6,-0.1,0))))</f>
        <v>0</v>
      </c>
      <c r="K6" t="s">
        <v>46</v>
      </c>
      <c r="L6" t="str">
        <f>'Azlan Husain'!C10</f>
        <v>Lia Li  —  £13.0m</v>
      </c>
      <c r="M6" t="str">
        <f>'Azlan Husain'!C11</f>
        <v>David Wu  —  £10.5m</v>
      </c>
      <c r="N6" t="str">
        <f>'Azlan Husain'!C12</f>
        <v>Joe Paige  —  £10.5m</v>
      </c>
      <c r="O6" t="str">
        <f>'Azlan Husain'!C13</f>
        <v>Rory Bowman  —  £7.0m</v>
      </c>
      <c r="P6" t="str">
        <f>'Azlan Husain'!C14</f>
        <v>Edwin Mayers  —  £9.0m</v>
      </c>
      <c r="Q6" t="str">
        <f>'Azlan Husain'!C5</f>
        <v>Lia Li  —  £13.0m</v>
      </c>
      <c r="R6">
        <f>'Azlan Husain'!C17</f>
        <v>50</v>
      </c>
      <c r="S6">
        <f>'Azlan Husain'!C18</f>
        <v>0</v>
      </c>
      <c r="T6">
        <f>'Azlan Husain'!C19</f>
        <v>0</v>
      </c>
      <c r="U6" t="str">
        <f>'Azlan Husain'!C20</f>
        <v>VALID TEAM</v>
      </c>
      <c r="W6" t="str">
        <f t="shared" si="1"/>
        <v>Alyza Rai  —  £10.5m</v>
      </c>
    </row>
    <row r="7" spans="1:23" x14ac:dyDescent="0.25">
      <c r="A7" t="s">
        <v>49</v>
      </c>
      <c r="B7">
        <v>10.5</v>
      </c>
      <c r="C7">
        <f t="shared" si="0"/>
        <v>10.5</v>
      </c>
      <c r="D7">
        <f>IFERROR(IF(INDEX('TEST RESULTS'!$C$5:$C$25,MATCH(A7,'TEST RESULTS'!$B$5:$B$25,0))="",0,IF(INDEX('TEST RESULTS'!$C$5:$C$25,MATCH(A7,'TEST RESULTS'!$B$5:$B$25,0))&gt;=95,10,IF(INDEX('TEST RESULTS'!$C$5:$C$25,MATCH(A7,'TEST RESULTS'!$B$5:$B$25,0))&gt;=90,9,IF(INDEX('TEST RESULTS'!$C$5:$C$25,MATCH(A7,'TEST RESULTS'!$B$5:$B$25,0))&gt;=85,8,IF(INDEX('TEST RESULTS'!$C$5:$C$25,MATCH(A7,'TEST RESULTS'!$B$5:$B$25,0))&gt;=80,7,IF(INDEX('TEST RESULTS'!$C$5:$C$25,MATCH(A7,'TEST RESULTS'!$B$5:$B$25,0))&gt;=75,6,IF(INDEX('TEST RESULTS'!$C$5:$C$25,MATCH(A7,'TEST RESULTS'!$B$5:$B$25,0))&gt;=70,5,IF(INDEX('TEST RESULTS'!$C$5:$C$25,MATCH(A7,'TEST RESULTS'!$B$5:$B$25,0))&gt;=65,4,IF(INDEX('TEST RESULTS'!$C$5:$C$25,MATCH(A7,'TEST RESULTS'!$B$5:$B$25,0))&gt;=60,3,0))))))))),0)</f>
        <v>0</v>
      </c>
      <c r="F7">
        <f>IF(INDEX('TEST RESULTS'!$C$5:$C$25,MATCH(A7,'TEST RESULTS'!$B$5:$B$25,0))="",0,IF(E7="",0,IF(D7&gt;E7,0.1,IF(D7&lt;E7,-0.1,0))))</f>
        <v>0</v>
      </c>
      <c r="K7" t="s">
        <v>47</v>
      </c>
      <c r="L7" t="str">
        <f>'Chinedu Chile'!C10</f>
        <v>Chinedu Chile  —  £11.0m</v>
      </c>
      <c r="M7" t="str">
        <f>'Chinedu Chile'!C11</f>
        <v>Alexa Amesimeku  —  £9.5m</v>
      </c>
      <c r="N7" t="str">
        <f>'Chinedu Chile'!C12</f>
        <v>David Wu  —  £10.5m</v>
      </c>
      <c r="O7" t="str">
        <f>'Chinedu Chile'!C13</f>
        <v>Edwin Mayers  —  £9.0m</v>
      </c>
      <c r="P7" t="str">
        <f>'Chinedu Chile'!C14</f>
        <v>Azlan Husain  —  £10.0m</v>
      </c>
      <c r="Q7" t="str">
        <f>'Chinedu Chile'!C5</f>
        <v>Chinedu Chile  —  £11.0m</v>
      </c>
      <c r="R7">
        <f>'Chinedu Chile'!C17</f>
        <v>50</v>
      </c>
      <c r="S7">
        <f>'Chinedu Chile'!C18</f>
        <v>0</v>
      </c>
      <c r="T7">
        <f>'Chinedu Chile'!C19</f>
        <v>0</v>
      </c>
      <c r="U7" t="str">
        <f>'Chinedu Chile'!C20</f>
        <v>VALID TEAM</v>
      </c>
      <c r="W7" t="str">
        <f t="shared" si="1"/>
        <v>David Wu  —  £10.5m</v>
      </c>
    </row>
    <row r="8" spans="1:23" x14ac:dyDescent="0.25">
      <c r="A8" t="s">
        <v>54</v>
      </c>
      <c r="B8">
        <v>10.5</v>
      </c>
      <c r="C8">
        <f t="shared" si="0"/>
        <v>10.5</v>
      </c>
      <c r="D8">
        <f>IFERROR(IF(INDEX('TEST RESULTS'!$C$5:$C$25,MATCH(A8,'TEST RESULTS'!$B$5:$B$25,0))="",0,IF(INDEX('TEST RESULTS'!$C$5:$C$25,MATCH(A8,'TEST RESULTS'!$B$5:$B$25,0))&gt;=95,10,IF(INDEX('TEST RESULTS'!$C$5:$C$25,MATCH(A8,'TEST RESULTS'!$B$5:$B$25,0))&gt;=90,9,IF(INDEX('TEST RESULTS'!$C$5:$C$25,MATCH(A8,'TEST RESULTS'!$B$5:$B$25,0))&gt;=85,8,IF(INDEX('TEST RESULTS'!$C$5:$C$25,MATCH(A8,'TEST RESULTS'!$B$5:$B$25,0))&gt;=80,7,IF(INDEX('TEST RESULTS'!$C$5:$C$25,MATCH(A8,'TEST RESULTS'!$B$5:$B$25,0))&gt;=75,6,IF(INDEX('TEST RESULTS'!$C$5:$C$25,MATCH(A8,'TEST RESULTS'!$B$5:$B$25,0))&gt;=70,5,IF(INDEX('TEST RESULTS'!$C$5:$C$25,MATCH(A8,'TEST RESULTS'!$B$5:$B$25,0))&gt;=65,4,IF(INDEX('TEST RESULTS'!$C$5:$C$25,MATCH(A8,'TEST RESULTS'!$B$5:$B$25,0))&gt;=60,3,0))))))))),0)</f>
        <v>0</v>
      </c>
      <c r="F8">
        <f>IF(INDEX('TEST RESULTS'!$C$5:$C$25,MATCH(A8,'TEST RESULTS'!$B$5:$B$25,0))="",0,IF(E8="",0,IF(D8&gt;E8,0.1,IF(D8&lt;E8,-0.1,0))))</f>
        <v>0</v>
      </c>
      <c r="K8" t="s">
        <v>48</v>
      </c>
      <c r="L8">
        <f>'Daniel Liu'!C10</f>
        <v>0</v>
      </c>
      <c r="M8">
        <f>'Daniel Liu'!C11</f>
        <v>0</v>
      </c>
      <c r="N8">
        <f>'Daniel Liu'!C12</f>
        <v>0</v>
      </c>
      <c r="O8">
        <f>'Daniel Liu'!C13</f>
        <v>0</v>
      </c>
      <c r="P8">
        <f>'Daniel Liu'!C14</f>
        <v>0</v>
      </c>
      <c r="Q8">
        <f>'Daniel Liu'!C5</f>
        <v>0</v>
      </c>
      <c r="R8">
        <f>'Daniel Liu'!C17</f>
        <v>0</v>
      </c>
      <c r="S8">
        <f>'Daniel Liu'!C18</f>
        <v>50</v>
      </c>
      <c r="T8">
        <f>'Daniel Liu'!C19</f>
        <v>0</v>
      </c>
      <c r="U8" t="str">
        <f>'Daniel Liu'!C20</f>
        <v>LESS THAN 5 PLAYERS</v>
      </c>
      <c r="W8" t="str">
        <f t="shared" si="1"/>
        <v>Joe Paige  —  £10.5m</v>
      </c>
    </row>
    <row r="9" spans="1:23" x14ac:dyDescent="0.25">
      <c r="A9" t="s">
        <v>46</v>
      </c>
      <c r="B9">
        <v>10</v>
      </c>
      <c r="C9">
        <f t="shared" si="0"/>
        <v>10</v>
      </c>
      <c r="D9">
        <f>IFERROR(IF(INDEX('TEST RESULTS'!$C$5:$C$25,MATCH(A9,'TEST RESULTS'!$B$5:$B$25,0))="",0,IF(INDEX('TEST RESULTS'!$C$5:$C$25,MATCH(A9,'TEST RESULTS'!$B$5:$B$25,0))&gt;=95,10,IF(INDEX('TEST RESULTS'!$C$5:$C$25,MATCH(A9,'TEST RESULTS'!$B$5:$B$25,0))&gt;=90,9,IF(INDEX('TEST RESULTS'!$C$5:$C$25,MATCH(A9,'TEST RESULTS'!$B$5:$B$25,0))&gt;=85,8,IF(INDEX('TEST RESULTS'!$C$5:$C$25,MATCH(A9,'TEST RESULTS'!$B$5:$B$25,0))&gt;=80,7,IF(INDEX('TEST RESULTS'!$C$5:$C$25,MATCH(A9,'TEST RESULTS'!$B$5:$B$25,0))&gt;=75,6,IF(INDEX('TEST RESULTS'!$C$5:$C$25,MATCH(A9,'TEST RESULTS'!$B$5:$B$25,0))&gt;=70,5,IF(INDEX('TEST RESULTS'!$C$5:$C$25,MATCH(A9,'TEST RESULTS'!$B$5:$B$25,0))&gt;=65,4,IF(INDEX('TEST RESULTS'!$C$5:$C$25,MATCH(A9,'TEST RESULTS'!$B$5:$B$25,0))&gt;=60,3,0))))))))),0)</f>
        <v>0</v>
      </c>
      <c r="F9">
        <f>IF(INDEX('TEST RESULTS'!$C$5:$C$25,MATCH(A9,'TEST RESULTS'!$B$5:$B$25,0))="",0,IF(E9="",0,IF(D9&gt;E9,0.1,IF(D9&lt;E9,-0.1,0))))</f>
        <v>0</v>
      </c>
      <c r="K9" t="s">
        <v>49</v>
      </c>
      <c r="L9">
        <f>'David Wu'!C10</f>
        <v>0</v>
      </c>
      <c r="M9">
        <f>'David Wu'!C11</f>
        <v>0</v>
      </c>
      <c r="N9">
        <f>'David Wu'!C12</f>
        <v>0</v>
      </c>
      <c r="O9">
        <f>'David Wu'!C13</f>
        <v>0</v>
      </c>
      <c r="P9">
        <f>'David Wu'!C14</f>
        <v>0</v>
      </c>
      <c r="Q9">
        <f>'David Wu'!C5</f>
        <v>0</v>
      </c>
      <c r="R9">
        <f>'David Wu'!C17</f>
        <v>0</v>
      </c>
      <c r="S9">
        <f>'David Wu'!C18</f>
        <v>50</v>
      </c>
      <c r="T9">
        <f>'David Wu'!C19</f>
        <v>0</v>
      </c>
      <c r="U9" t="str">
        <f>'David Wu'!C20</f>
        <v>LESS THAN 5 PLAYERS</v>
      </c>
      <c r="W9" t="str">
        <f t="shared" si="1"/>
        <v>Azlan Husain  —  £10.0m</v>
      </c>
    </row>
    <row r="10" spans="1:23" x14ac:dyDescent="0.25">
      <c r="A10" t="s">
        <v>57</v>
      </c>
      <c r="B10">
        <v>10</v>
      </c>
      <c r="C10">
        <f t="shared" si="0"/>
        <v>10</v>
      </c>
      <c r="D10">
        <f>IFERROR(IF(INDEX('TEST RESULTS'!$C$5:$C$25,MATCH(A10,'TEST RESULTS'!$B$5:$B$25,0))="",0,IF(INDEX('TEST RESULTS'!$C$5:$C$25,MATCH(A10,'TEST RESULTS'!$B$5:$B$25,0))&gt;=95,10,IF(INDEX('TEST RESULTS'!$C$5:$C$25,MATCH(A10,'TEST RESULTS'!$B$5:$B$25,0))&gt;=90,9,IF(INDEX('TEST RESULTS'!$C$5:$C$25,MATCH(A10,'TEST RESULTS'!$B$5:$B$25,0))&gt;=85,8,IF(INDEX('TEST RESULTS'!$C$5:$C$25,MATCH(A10,'TEST RESULTS'!$B$5:$B$25,0))&gt;=80,7,IF(INDEX('TEST RESULTS'!$C$5:$C$25,MATCH(A10,'TEST RESULTS'!$B$5:$B$25,0))&gt;=75,6,IF(INDEX('TEST RESULTS'!$C$5:$C$25,MATCH(A10,'TEST RESULTS'!$B$5:$B$25,0))&gt;=70,5,IF(INDEX('TEST RESULTS'!$C$5:$C$25,MATCH(A10,'TEST RESULTS'!$B$5:$B$25,0))&gt;=65,4,IF(INDEX('TEST RESULTS'!$C$5:$C$25,MATCH(A10,'TEST RESULTS'!$B$5:$B$25,0))&gt;=60,3,0))))))))),0)</f>
        <v>0</v>
      </c>
      <c r="F10">
        <f>IF(INDEX('TEST RESULTS'!$C$5:$C$25,MATCH(A10,'TEST RESULTS'!$B$5:$B$25,0))="",0,IF(E10="",0,IF(D10&gt;E10,0.1,IF(D10&lt;E10,-0.1,0))))</f>
        <v>0</v>
      </c>
      <c r="K10" t="s">
        <v>50</v>
      </c>
      <c r="L10" t="str">
        <f>'Edwin Mayers'!C10</f>
        <v>Sophie Barker  —  £13.0m</v>
      </c>
      <c r="M10" t="str">
        <f>'Edwin Mayers'!C11</f>
        <v>Esme Beston  —  £8.0m</v>
      </c>
      <c r="N10" t="str">
        <f>'Edwin Mayers'!C12</f>
        <v>Edwin Mayers  —  £9.0m</v>
      </c>
      <c r="O10" t="str">
        <f>'Edwin Mayers'!C13</f>
        <v>Emily Warburton  —  £11.0m</v>
      </c>
      <c r="P10" t="str">
        <f>'Edwin Mayers'!C14</f>
        <v>Ava Swinfen  —  £7.0m</v>
      </c>
      <c r="Q10" t="str">
        <f>'Edwin Mayers'!C5</f>
        <v>Emily Warburton  —  £11.0m</v>
      </c>
      <c r="R10">
        <f>'Edwin Mayers'!C17</f>
        <v>48</v>
      </c>
      <c r="S10">
        <f>'Edwin Mayers'!C18</f>
        <v>2</v>
      </c>
      <c r="T10">
        <f>'Edwin Mayers'!C19</f>
        <v>0</v>
      </c>
      <c r="U10" t="str">
        <f>'Edwin Mayers'!C20</f>
        <v>VALID TEAM</v>
      </c>
      <c r="W10" t="str">
        <f t="shared" si="1"/>
        <v>Nina De Saram  —  £10.0m</v>
      </c>
    </row>
    <row r="11" spans="1:23" x14ac:dyDescent="0.25">
      <c r="A11" t="s">
        <v>42</v>
      </c>
      <c r="B11">
        <v>9.5</v>
      </c>
      <c r="C11">
        <f t="shared" si="0"/>
        <v>9.5</v>
      </c>
      <c r="D11">
        <f>IFERROR(IF(INDEX('TEST RESULTS'!$C$5:$C$25,MATCH(A11,'TEST RESULTS'!$B$5:$B$25,0))="",0,IF(INDEX('TEST RESULTS'!$C$5:$C$25,MATCH(A11,'TEST RESULTS'!$B$5:$B$25,0))&gt;=95,10,IF(INDEX('TEST RESULTS'!$C$5:$C$25,MATCH(A11,'TEST RESULTS'!$B$5:$B$25,0))&gt;=90,9,IF(INDEX('TEST RESULTS'!$C$5:$C$25,MATCH(A11,'TEST RESULTS'!$B$5:$B$25,0))&gt;=85,8,IF(INDEX('TEST RESULTS'!$C$5:$C$25,MATCH(A11,'TEST RESULTS'!$B$5:$B$25,0))&gt;=80,7,IF(INDEX('TEST RESULTS'!$C$5:$C$25,MATCH(A11,'TEST RESULTS'!$B$5:$B$25,0))&gt;=75,6,IF(INDEX('TEST RESULTS'!$C$5:$C$25,MATCH(A11,'TEST RESULTS'!$B$5:$B$25,0))&gt;=70,5,IF(INDEX('TEST RESULTS'!$C$5:$C$25,MATCH(A11,'TEST RESULTS'!$B$5:$B$25,0))&gt;=65,4,IF(INDEX('TEST RESULTS'!$C$5:$C$25,MATCH(A11,'TEST RESULTS'!$B$5:$B$25,0))&gt;=60,3,0))))))))),0)</f>
        <v>0</v>
      </c>
      <c r="F11">
        <f>IF(INDEX('TEST RESULTS'!$C$5:$C$25,MATCH(A11,'TEST RESULTS'!$B$5:$B$25,0))="",0,IF(E11="",0,IF(D11&gt;E11,0.1,IF(D11&lt;E11,-0.1,0))))</f>
        <v>0</v>
      </c>
      <c r="K11" t="s">
        <v>51</v>
      </c>
      <c r="L11">
        <f>'Emily Warburton'!C10</f>
        <v>0</v>
      </c>
      <c r="M11">
        <f>'Emily Warburton'!C11</f>
        <v>0</v>
      </c>
      <c r="N11">
        <f>'Emily Warburton'!C12</f>
        <v>0</v>
      </c>
      <c r="O11">
        <f>'Emily Warburton'!C13</f>
        <v>0</v>
      </c>
      <c r="P11">
        <f>'Emily Warburton'!C14</f>
        <v>0</v>
      </c>
      <c r="Q11">
        <f>'Emily Warburton'!C5</f>
        <v>0</v>
      </c>
      <c r="R11">
        <f>'Emily Warburton'!C17</f>
        <v>0</v>
      </c>
      <c r="S11">
        <f>'Emily Warburton'!C18</f>
        <v>50</v>
      </c>
      <c r="T11">
        <f>'Emily Warburton'!C19</f>
        <v>0</v>
      </c>
      <c r="U11" t="str">
        <f>'Emily Warburton'!C20</f>
        <v>LESS THAN 5 PLAYERS</v>
      </c>
      <c r="W11" t="str">
        <f t="shared" si="1"/>
        <v>Alexa Amesimeku  —  £9.5m</v>
      </c>
    </row>
    <row r="12" spans="1:23" x14ac:dyDescent="0.25">
      <c r="A12" t="s">
        <v>48</v>
      </c>
      <c r="B12">
        <v>9.5</v>
      </c>
      <c r="C12">
        <f t="shared" si="0"/>
        <v>9.5</v>
      </c>
      <c r="D12">
        <f>IFERROR(IF(INDEX('TEST RESULTS'!$C$5:$C$25,MATCH(A12,'TEST RESULTS'!$B$5:$B$25,0))="",0,IF(INDEX('TEST RESULTS'!$C$5:$C$25,MATCH(A12,'TEST RESULTS'!$B$5:$B$25,0))&gt;=95,10,IF(INDEX('TEST RESULTS'!$C$5:$C$25,MATCH(A12,'TEST RESULTS'!$B$5:$B$25,0))&gt;=90,9,IF(INDEX('TEST RESULTS'!$C$5:$C$25,MATCH(A12,'TEST RESULTS'!$B$5:$B$25,0))&gt;=85,8,IF(INDEX('TEST RESULTS'!$C$5:$C$25,MATCH(A12,'TEST RESULTS'!$B$5:$B$25,0))&gt;=80,7,IF(INDEX('TEST RESULTS'!$C$5:$C$25,MATCH(A12,'TEST RESULTS'!$B$5:$B$25,0))&gt;=75,6,IF(INDEX('TEST RESULTS'!$C$5:$C$25,MATCH(A12,'TEST RESULTS'!$B$5:$B$25,0))&gt;=70,5,IF(INDEX('TEST RESULTS'!$C$5:$C$25,MATCH(A12,'TEST RESULTS'!$B$5:$B$25,0))&gt;=65,4,IF(INDEX('TEST RESULTS'!$C$5:$C$25,MATCH(A12,'TEST RESULTS'!$B$5:$B$25,0))&gt;=60,3,0))))))))),0)</f>
        <v>0</v>
      </c>
      <c r="F12">
        <f>IF(INDEX('TEST RESULTS'!$C$5:$C$25,MATCH(A12,'TEST RESULTS'!$B$5:$B$25,0))="",0,IF(E12="",0,IF(D12&gt;E12,0.1,IF(D12&lt;E12,-0.1,0))))</f>
        <v>0</v>
      </c>
      <c r="K12" t="s">
        <v>52</v>
      </c>
      <c r="L12">
        <f>'Esme Beston'!C10</f>
        <v>0</v>
      </c>
      <c r="M12">
        <f>'Esme Beston'!C11</f>
        <v>0</v>
      </c>
      <c r="N12">
        <f>'Esme Beston'!C12</f>
        <v>0</v>
      </c>
      <c r="O12">
        <f>'Esme Beston'!C13</f>
        <v>0</v>
      </c>
      <c r="P12">
        <f>'Esme Beston'!C14</f>
        <v>0</v>
      </c>
      <c r="Q12">
        <f>'Esme Beston'!C5</f>
        <v>0</v>
      </c>
      <c r="R12">
        <f>'Esme Beston'!C17</f>
        <v>0</v>
      </c>
      <c r="S12">
        <f>'Esme Beston'!C18</f>
        <v>50</v>
      </c>
      <c r="T12">
        <f>'Esme Beston'!C19</f>
        <v>0</v>
      </c>
      <c r="U12" t="str">
        <f>'Esme Beston'!C20</f>
        <v>LESS THAN 5 PLAYERS</v>
      </c>
      <c r="W12" t="str">
        <f t="shared" si="1"/>
        <v>Daniel Liu  —  £9.5m</v>
      </c>
    </row>
    <row r="13" spans="1:23" x14ac:dyDescent="0.25">
      <c r="A13" t="s">
        <v>59</v>
      </c>
      <c r="B13">
        <v>9.5</v>
      </c>
      <c r="C13">
        <f t="shared" si="0"/>
        <v>9.5</v>
      </c>
      <c r="D13">
        <f>IFERROR(IF(INDEX('TEST RESULTS'!$C$5:$C$25,MATCH(A13,'TEST RESULTS'!$B$5:$B$25,0))="",0,IF(INDEX('TEST RESULTS'!$C$5:$C$25,MATCH(A13,'TEST RESULTS'!$B$5:$B$25,0))&gt;=95,10,IF(INDEX('TEST RESULTS'!$C$5:$C$25,MATCH(A13,'TEST RESULTS'!$B$5:$B$25,0))&gt;=90,9,IF(INDEX('TEST RESULTS'!$C$5:$C$25,MATCH(A13,'TEST RESULTS'!$B$5:$B$25,0))&gt;=85,8,IF(INDEX('TEST RESULTS'!$C$5:$C$25,MATCH(A13,'TEST RESULTS'!$B$5:$B$25,0))&gt;=80,7,IF(INDEX('TEST RESULTS'!$C$5:$C$25,MATCH(A13,'TEST RESULTS'!$B$5:$B$25,0))&gt;=75,6,IF(INDEX('TEST RESULTS'!$C$5:$C$25,MATCH(A13,'TEST RESULTS'!$B$5:$B$25,0))&gt;=70,5,IF(INDEX('TEST RESULTS'!$C$5:$C$25,MATCH(A13,'TEST RESULTS'!$B$5:$B$25,0))&gt;=65,4,IF(INDEX('TEST RESULTS'!$C$5:$C$25,MATCH(A13,'TEST RESULTS'!$B$5:$B$25,0))&gt;=60,3,0))))))))),0)</f>
        <v>0</v>
      </c>
      <c r="F13">
        <f>IF(INDEX('TEST RESULTS'!$C$5:$C$25,MATCH(A13,'TEST RESULTS'!$B$5:$B$25,0))="",0,IF(E13="",0,IF(D13&gt;E13,0.1,IF(D13&lt;E13,-0.1,0))))</f>
        <v>0</v>
      </c>
      <c r="K13" t="s">
        <v>53</v>
      </c>
      <c r="L13">
        <f>'Iona Smith'!C10</f>
        <v>0</v>
      </c>
      <c r="M13">
        <f>'Iona Smith'!C11</f>
        <v>0</v>
      </c>
      <c r="N13">
        <f>'Iona Smith'!C12</f>
        <v>0</v>
      </c>
      <c r="O13">
        <f>'Iona Smith'!C13</f>
        <v>0</v>
      </c>
      <c r="P13">
        <f>'Iona Smith'!C14</f>
        <v>0</v>
      </c>
      <c r="Q13">
        <f>'Iona Smith'!C5</f>
        <v>0</v>
      </c>
      <c r="R13">
        <f>'Iona Smith'!C17</f>
        <v>0</v>
      </c>
      <c r="S13">
        <f>'Iona Smith'!C18</f>
        <v>50</v>
      </c>
      <c r="T13">
        <f>'Iona Smith'!C19</f>
        <v>0</v>
      </c>
      <c r="U13" t="str">
        <f>'Iona Smith'!C20</f>
        <v>LESS THAN 5 PLAYERS</v>
      </c>
      <c r="W13" t="str">
        <f t="shared" si="1"/>
        <v>Rebecca Seymour  —  £9.5m</v>
      </c>
    </row>
    <row r="14" spans="1:23" x14ac:dyDescent="0.25">
      <c r="A14" t="s">
        <v>50</v>
      </c>
      <c r="B14">
        <v>9</v>
      </c>
      <c r="C14">
        <f t="shared" si="0"/>
        <v>9</v>
      </c>
      <c r="D14">
        <f>IFERROR(IF(INDEX('TEST RESULTS'!$C$5:$C$25,MATCH(A14,'TEST RESULTS'!$B$5:$B$25,0))="",0,IF(INDEX('TEST RESULTS'!$C$5:$C$25,MATCH(A14,'TEST RESULTS'!$B$5:$B$25,0))&gt;=95,10,IF(INDEX('TEST RESULTS'!$C$5:$C$25,MATCH(A14,'TEST RESULTS'!$B$5:$B$25,0))&gt;=90,9,IF(INDEX('TEST RESULTS'!$C$5:$C$25,MATCH(A14,'TEST RESULTS'!$B$5:$B$25,0))&gt;=85,8,IF(INDEX('TEST RESULTS'!$C$5:$C$25,MATCH(A14,'TEST RESULTS'!$B$5:$B$25,0))&gt;=80,7,IF(INDEX('TEST RESULTS'!$C$5:$C$25,MATCH(A14,'TEST RESULTS'!$B$5:$B$25,0))&gt;=75,6,IF(INDEX('TEST RESULTS'!$C$5:$C$25,MATCH(A14,'TEST RESULTS'!$B$5:$B$25,0))&gt;=70,5,IF(INDEX('TEST RESULTS'!$C$5:$C$25,MATCH(A14,'TEST RESULTS'!$B$5:$B$25,0))&gt;=65,4,IF(INDEX('TEST RESULTS'!$C$5:$C$25,MATCH(A14,'TEST RESULTS'!$B$5:$B$25,0))&gt;=60,3,0))))))))),0)</f>
        <v>0</v>
      </c>
      <c r="F14">
        <f>IF(INDEX('TEST RESULTS'!$C$5:$C$25,MATCH(A14,'TEST RESULTS'!$B$5:$B$25,0))="",0,IF(E14="",0,IF(D14&gt;E14,0.1,IF(D14&lt;E14,-0.1,0))))</f>
        <v>0</v>
      </c>
      <c r="K14" t="s">
        <v>54</v>
      </c>
      <c r="L14">
        <f>'Joe Paige'!C10</f>
        <v>0</v>
      </c>
      <c r="M14">
        <f>'Joe Paige'!C11</f>
        <v>0</v>
      </c>
      <c r="N14">
        <f>'Joe Paige'!C12</f>
        <v>0</v>
      </c>
      <c r="O14">
        <f>'Joe Paige'!C13</f>
        <v>0</v>
      </c>
      <c r="P14">
        <f>'Joe Paige'!C14</f>
        <v>0</v>
      </c>
      <c r="Q14">
        <f>'Joe Paige'!C5</f>
        <v>0</v>
      </c>
      <c r="R14">
        <f>'Joe Paige'!C17</f>
        <v>0</v>
      </c>
      <c r="S14">
        <f>'Joe Paige'!C18</f>
        <v>50</v>
      </c>
      <c r="T14">
        <f>'Joe Paige'!C19</f>
        <v>0</v>
      </c>
      <c r="U14" t="str">
        <f>'Joe Paige'!C20</f>
        <v>LESS THAN 5 PLAYERS</v>
      </c>
      <c r="W14" t="str">
        <f t="shared" si="1"/>
        <v>Edwin Mayers  —  £9.0m</v>
      </c>
    </row>
    <row r="15" spans="1:23" x14ac:dyDescent="0.25">
      <c r="A15" t="s">
        <v>56</v>
      </c>
      <c r="B15">
        <v>8.5</v>
      </c>
      <c r="C15">
        <f t="shared" si="0"/>
        <v>8.5</v>
      </c>
      <c r="D15">
        <f>IFERROR(IF(INDEX('TEST RESULTS'!$C$5:$C$25,MATCH(A15,'TEST RESULTS'!$B$5:$B$25,0))="",0,IF(INDEX('TEST RESULTS'!$C$5:$C$25,MATCH(A15,'TEST RESULTS'!$B$5:$B$25,0))&gt;=95,10,IF(INDEX('TEST RESULTS'!$C$5:$C$25,MATCH(A15,'TEST RESULTS'!$B$5:$B$25,0))&gt;=90,9,IF(INDEX('TEST RESULTS'!$C$5:$C$25,MATCH(A15,'TEST RESULTS'!$B$5:$B$25,0))&gt;=85,8,IF(INDEX('TEST RESULTS'!$C$5:$C$25,MATCH(A15,'TEST RESULTS'!$B$5:$B$25,0))&gt;=80,7,IF(INDEX('TEST RESULTS'!$C$5:$C$25,MATCH(A15,'TEST RESULTS'!$B$5:$B$25,0))&gt;=75,6,IF(INDEX('TEST RESULTS'!$C$5:$C$25,MATCH(A15,'TEST RESULTS'!$B$5:$B$25,0))&gt;=70,5,IF(INDEX('TEST RESULTS'!$C$5:$C$25,MATCH(A15,'TEST RESULTS'!$B$5:$B$25,0))&gt;=65,4,IF(INDEX('TEST RESULTS'!$C$5:$C$25,MATCH(A15,'TEST RESULTS'!$B$5:$B$25,0))&gt;=60,3,0))))))))),0)</f>
        <v>0</v>
      </c>
      <c r="F15">
        <f>IF(INDEX('TEST RESULTS'!$C$5:$C$25,MATCH(A15,'TEST RESULTS'!$B$5:$B$25,0))="",0,IF(E15="",0,IF(D15&gt;E15,0.1,IF(D15&lt;E15,-0.1,0))))</f>
        <v>0</v>
      </c>
      <c r="K15" t="s">
        <v>55</v>
      </c>
      <c r="L15">
        <f>'Lia Li'!C10</f>
        <v>0</v>
      </c>
      <c r="M15">
        <f>'Lia Li'!C11</f>
        <v>0</v>
      </c>
      <c r="N15">
        <f>'Lia Li'!C12</f>
        <v>0</v>
      </c>
      <c r="O15">
        <f>'Lia Li'!C13</f>
        <v>0</v>
      </c>
      <c r="P15">
        <f>'Lia Li'!C14</f>
        <v>0</v>
      </c>
      <c r="Q15">
        <f>'Lia Li'!C5</f>
        <v>0</v>
      </c>
      <c r="R15">
        <f>'Lia Li'!C17</f>
        <v>0</v>
      </c>
      <c r="S15">
        <f>'Lia Li'!C18</f>
        <v>50</v>
      </c>
      <c r="T15">
        <f>'Lia Li'!C19</f>
        <v>0</v>
      </c>
      <c r="U15" t="str">
        <f>'Lia Li'!C20</f>
        <v>LESS THAN 5 PLAYERS</v>
      </c>
      <c r="W15" t="str">
        <f t="shared" si="1"/>
        <v>Melody Zhaeentan  —  £8.5m</v>
      </c>
    </row>
    <row r="16" spans="1:23" x14ac:dyDescent="0.25">
      <c r="A16" t="s">
        <v>52</v>
      </c>
      <c r="B16">
        <v>8</v>
      </c>
      <c r="C16">
        <f t="shared" si="0"/>
        <v>8</v>
      </c>
      <c r="D16">
        <f>IFERROR(IF(INDEX('TEST RESULTS'!$C$5:$C$25,MATCH(A16,'TEST RESULTS'!$B$5:$B$25,0))="",0,IF(INDEX('TEST RESULTS'!$C$5:$C$25,MATCH(A16,'TEST RESULTS'!$B$5:$B$25,0))&gt;=95,10,IF(INDEX('TEST RESULTS'!$C$5:$C$25,MATCH(A16,'TEST RESULTS'!$B$5:$B$25,0))&gt;=90,9,IF(INDEX('TEST RESULTS'!$C$5:$C$25,MATCH(A16,'TEST RESULTS'!$B$5:$B$25,0))&gt;=85,8,IF(INDEX('TEST RESULTS'!$C$5:$C$25,MATCH(A16,'TEST RESULTS'!$B$5:$B$25,0))&gt;=80,7,IF(INDEX('TEST RESULTS'!$C$5:$C$25,MATCH(A16,'TEST RESULTS'!$B$5:$B$25,0))&gt;=75,6,IF(INDEX('TEST RESULTS'!$C$5:$C$25,MATCH(A16,'TEST RESULTS'!$B$5:$B$25,0))&gt;=70,5,IF(INDEX('TEST RESULTS'!$C$5:$C$25,MATCH(A16,'TEST RESULTS'!$B$5:$B$25,0))&gt;=65,4,IF(INDEX('TEST RESULTS'!$C$5:$C$25,MATCH(A16,'TEST RESULTS'!$B$5:$B$25,0))&gt;=60,3,0))))))))),0)</f>
        <v>0</v>
      </c>
      <c r="F16">
        <f>IF(INDEX('TEST RESULTS'!$C$5:$C$25,MATCH(A16,'TEST RESULTS'!$B$5:$B$25,0))="",0,IF(E16="",0,IF(D16&gt;E16,0.1,IF(D16&lt;E16,-0.1,0))))</f>
        <v>0</v>
      </c>
      <c r="K16" t="s">
        <v>56</v>
      </c>
      <c r="L16" t="str">
        <f>'Melody Zhaeentan'!C10</f>
        <v>Lia Li  —  £13.0m</v>
      </c>
      <c r="M16" t="str">
        <f>'Melody Zhaeentan'!C11</f>
        <v>Edwin Mayers  —  £9.0m</v>
      </c>
      <c r="N16" t="str">
        <f>'Melody Zhaeentan'!C12</f>
        <v>David Wu  —  £10.5m</v>
      </c>
      <c r="O16" t="str">
        <f>'Melody Zhaeentan'!C13</f>
        <v>Joe Paige  —  £10.5m</v>
      </c>
      <c r="P16" t="str">
        <f>'Melody Zhaeentan'!C14</f>
        <v>Xander Meijer  —  £7.0m</v>
      </c>
      <c r="Q16" t="str">
        <f>'Melody Zhaeentan'!C5</f>
        <v>Lia Li  —  £13.0m</v>
      </c>
      <c r="R16">
        <f>'Melody Zhaeentan'!C17</f>
        <v>50</v>
      </c>
      <c r="S16">
        <f>'Melody Zhaeentan'!C18</f>
        <v>0</v>
      </c>
      <c r="T16">
        <f>'Melody Zhaeentan'!C19</f>
        <v>0</v>
      </c>
      <c r="U16" t="str">
        <f>'Melody Zhaeentan'!C20</f>
        <v>VALID TEAM</v>
      </c>
      <c r="W16" t="str">
        <f t="shared" si="1"/>
        <v>Esme Beston  —  £8.0m</v>
      </c>
    </row>
    <row r="17" spans="1:23" x14ac:dyDescent="0.25">
      <c r="A17" t="s">
        <v>53</v>
      </c>
      <c r="B17">
        <v>8</v>
      </c>
      <c r="C17">
        <f t="shared" si="0"/>
        <v>8</v>
      </c>
      <c r="D17">
        <f>IFERROR(IF(INDEX('TEST RESULTS'!$C$5:$C$25,MATCH(A17,'TEST RESULTS'!$B$5:$B$25,0))="",0,IF(INDEX('TEST RESULTS'!$C$5:$C$25,MATCH(A17,'TEST RESULTS'!$B$5:$B$25,0))&gt;=95,10,IF(INDEX('TEST RESULTS'!$C$5:$C$25,MATCH(A17,'TEST RESULTS'!$B$5:$B$25,0))&gt;=90,9,IF(INDEX('TEST RESULTS'!$C$5:$C$25,MATCH(A17,'TEST RESULTS'!$B$5:$B$25,0))&gt;=85,8,IF(INDEX('TEST RESULTS'!$C$5:$C$25,MATCH(A17,'TEST RESULTS'!$B$5:$B$25,0))&gt;=80,7,IF(INDEX('TEST RESULTS'!$C$5:$C$25,MATCH(A17,'TEST RESULTS'!$B$5:$B$25,0))&gt;=75,6,IF(INDEX('TEST RESULTS'!$C$5:$C$25,MATCH(A17,'TEST RESULTS'!$B$5:$B$25,0))&gt;=70,5,IF(INDEX('TEST RESULTS'!$C$5:$C$25,MATCH(A17,'TEST RESULTS'!$B$5:$B$25,0))&gt;=65,4,IF(INDEX('TEST RESULTS'!$C$5:$C$25,MATCH(A17,'TEST RESULTS'!$B$5:$B$25,0))&gt;=60,3,0))))))))),0)</f>
        <v>0</v>
      </c>
      <c r="F17">
        <f>IF(INDEX('TEST RESULTS'!$C$5:$C$25,MATCH(A17,'TEST RESULTS'!$B$5:$B$25,0))="",0,IF(E17="",0,IF(D17&gt;E17,0.1,IF(D17&lt;E17,-0.1,0))))</f>
        <v>0</v>
      </c>
      <c r="K17" t="s">
        <v>57</v>
      </c>
      <c r="L17">
        <f>'Nina De Saram'!C10</f>
        <v>0</v>
      </c>
      <c r="M17">
        <f>'Nina De Saram'!C11</f>
        <v>0</v>
      </c>
      <c r="N17">
        <f>'Nina De Saram'!C12</f>
        <v>0</v>
      </c>
      <c r="O17">
        <f>'Nina De Saram'!C13</f>
        <v>0</v>
      </c>
      <c r="P17">
        <f>'Nina De Saram'!C14</f>
        <v>0</v>
      </c>
      <c r="Q17">
        <f>'Nina De Saram'!C5</f>
        <v>0</v>
      </c>
      <c r="R17">
        <f>'Nina De Saram'!C17</f>
        <v>0</v>
      </c>
      <c r="S17">
        <f>'Nina De Saram'!C18</f>
        <v>50</v>
      </c>
      <c r="T17">
        <f>'Nina De Saram'!C19</f>
        <v>0</v>
      </c>
      <c r="U17" t="str">
        <f>'Nina De Saram'!C20</f>
        <v>LESS THAN 5 PLAYERS</v>
      </c>
      <c r="W17" t="str">
        <f t="shared" si="1"/>
        <v>Iona Smith  —  £8.0m</v>
      </c>
    </row>
    <row r="18" spans="1:23" x14ac:dyDescent="0.25">
      <c r="A18" t="s">
        <v>58</v>
      </c>
      <c r="B18">
        <v>8</v>
      </c>
      <c r="C18">
        <f t="shared" si="0"/>
        <v>8</v>
      </c>
      <c r="D18">
        <f>IFERROR(IF(INDEX('TEST RESULTS'!$C$5:$C$25,MATCH(A18,'TEST RESULTS'!$B$5:$B$25,0))="",0,IF(INDEX('TEST RESULTS'!$C$5:$C$25,MATCH(A18,'TEST RESULTS'!$B$5:$B$25,0))&gt;=95,10,IF(INDEX('TEST RESULTS'!$C$5:$C$25,MATCH(A18,'TEST RESULTS'!$B$5:$B$25,0))&gt;=90,9,IF(INDEX('TEST RESULTS'!$C$5:$C$25,MATCH(A18,'TEST RESULTS'!$B$5:$B$25,0))&gt;=85,8,IF(INDEX('TEST RESULTS'!$C$5:$C$25,MATCH(A18,'TEST RESULTS'!$B$5:$B$25,0))&gt;=80,7,IF(INDEX('TEST RESULTS'!$C$5:$C$25,MATCH(A18,'TEST RESULTS'!$B$5:$B$25,0))&gt;=75,6,IF(INDEX('TEST RESULTS'!$C$5:$C$25,MATCH(A18,'TEST RESULTS'!$B$5:$B$25,0))&gt;=70,5,IF(INDEX('TEST RESULTS'!$C$5:$C$25,MATCH(A18,'TEST RESULTS'!$B$5:$B$25,0))&gt;=65,4,IF(INDEX('TEST RESULTS'!$C$5:$C$25,MATCH(A18,'TEST RESULTS'!$B$5:$B$25,0))&gt;=60,3,0))))))))),0)</f>
        <v>0</v>
      </c>
      <c r="F18">
        <f>IF(INDEX('TEST RESULTS'!$C$5:$C$25,MATCH(A18,'TEST RESULTS'!$B$5:$B$25,0))="",0,IF(E18="",0,IF(D18&gt;E18,0.1,IF(D18&lt;E18,-0.1,0))))</f>
        <v>0</v>
      </c>
      <c r="K18" t="s">
        <v>58</v>
      </c>
      <c r="L18">
        <f>'Oscar Day-Duran'!C10</f>
        <v>0</v>
      </c>
      <c r="M18">
        <f>'Oscar Day-Duran'!C11</f>
        <v>0</v>
      </c>
      <c r="N18">
        <f>'Oscar Day-Duran'!C12</f>
        <v>0</v>
      </c>
      <c r="O18">
        <f>'Oscar Day-Duran'!C13</f>
        <v>0</v>
      </c>
      <c r="P18">
        <f>'Oscar Day-Duran'!C14</f>
        <v>0</v>
      </c>
      <c r="Q18">
        <f>'Oscar Day-Duran'!C5</f>
        <v>0</v>
      </c>
      <c r="R18">
        <f>'Oscar Day-Duran'!C17</f>
        <v>0</v>
      </c>
      <c r="S18">
        <f>'Oscar Day-Duran'!C18</f>
        <v>50</v>
      </c>
      <c r="T18">
        <f>'Oscar Day-Duran'!C19</f>
        <v>0</v>
      </c>
      <c r="U18" t="str">
        <f>'Oscar Day-Duran'!C20</f>
        <v>LESS THAN 5 PLAYERS</v>
      </c>
      <c r="W18" t="str">
        <f t="shared" si="1"/>
        <v>Oscar Day-Duran  —  £8.0m</v>
      </c>
    </row>
    <row r="19" spans="1:23" x14ac:dyDescent="0.25">
      <c r="A19" t="s">
        <v>43</v>
      </c>
      <c r="B19">
        <v>7.5</v>
      </c>
      <c r="C19">
        <f t="shared" si="0"/>
        <v>7.5</v>
      </c>
      <c r="D19">
        <f>IFERROR(IF(INDEX('TEST RESULTS'!$C$5:$C$25,MATCH(A19,'TEST RESULTS'!$B$5:$B$25,0))="",0,IF(INDEX('TEST RESULTS'!$C$5:$C$25,MATCH(A19,'TEST RESULTS'!$B$5:$B$25,0))&gt;=95,10,IF(INDEX('TEST RESULTS'!$C$5:$C$25,MATCH(A19,'TEST RESULTS'!$B$5:$B$25,0))&gt;=90,9,IF(INDEX('TEST RESULTS'!$C$5:$C$25,MATCH(A19,'TEST RESULTS'!$B$5:$B$25,0))&gt;=85,8,IF(INDEX('TEST RESULTS'!$C$5:$C$25,MATCH(A19,'TEST RESULTS'!$B$5:$B$25,0))&gt;=80,7,IF(INDEX('TEST RESULTS'!$C$5:$C$25,MATCH(A19,'TEST RESULTS'!$B$5:$B$25,0))&gt;=75,6,IF(INDEX('TEST RESULTS'!$C$5:$C$25,MATCH(A19,'TEST RESULTS'!$B$5:$B$25,0))&gt;=70,5,IF(INDEX('TEST RESULTS'!$C$5:$C$25,MATCH(A19,'TEST RESULTS'!$B$5:$B$25,0))&gt;=65,4,IF(INDEX('TEST RESULTS'!$C$5:$C$25,MATCH(A19,'TEST RESULTS'!$B$5:$B$25,0))&gt;=60,3,0))))))))),0)</f>
        <v>0</v>
      </c>
      <c r="F19">
        <f>IF(INDEX('TEST RESULTS'!$C$5:$C$25,MATCH(A19,'TEST RESULTS'!$B$5:$B$25,0))="",0,IF(E19="",0,IF(D19&gt;E19,0.1,IF(D19&lt;E19,-0.1,0))))</f>
        <v>0</v>
      </c>
      <c r="K19" t="s">
        <v>59</v>
      </c>
      <c r="L19">
        <f>'Rebecca Seymour'!C10</f>
        <v>0</v>
      </c>
      <c r="M19">
        <f>'Rebecca Seymour'!C11</f>
        <v>0</v>
      </c>
      <c r="N19">
        <f>'Rebecca Seymour'!C12</f>
        <v>0</v>
      </c>
      <c r="O19">
        <f>'Rebecca Seymour'!C13</f>
        <v>0</v>
      </c>
      <c r="P19">
        <f>'Rebecca Seymour'!C14</f>
        <v>0</v>
      </c>
      <c r="Q19">
        <f>'Rebecca Seymour'!C5</f>
        <v>0</v>
      </c>
      <c r="R19">
        <f>'Rebecca Seymour'!C17</f>
        <v>0</v>
      </c>
      <c r="S19">
        <f>'Rebecca Seymour'!C18</f>
        <v>50</v>
      </c>
      <c r="T19">
        <f>'Rebecca Seymour'!C19</f>
        <v>0</v>
      </c>
      <c r="U19" t="str">
        <f>'Rebecca Seymour'!C20</f>
        <v>LESS THAN 5 PLAYERS</v>
      </c>
      <c r="W19" t="str">
        <f t="shared" si="1"/>
        <v>Alfie Foley  —  £7.5m</v>
      </c>
    </row>
    <row r="20" spans="1:23" x14ac:dyDescent="0.25">
      <c r="A20" t="s">
        <v>45</v>
      </c>
      <c r="B20">
        <v>7</v>
      </c>
      <c r="C20">
        <f t="shared" si="0"/>
        <v>7</v>
      </c>
      <c r="D20">
        <f>IFERROR(IF(INDEX('TEST RESULTS'!$C$5:$C$25,MATCH(A20,'TEST RESULTS'!$B$5:$B$25,0))="",0,IF(INDEX('TEST RESULTS'!$C$5:$C$25,MATCH(A20,'TEST RESULTS'!$B$5:$B$25,0))&gt;=95,10,IF(INDEX('TEST RESULTS'!$C$5:$C$25,MATCH(A20,'TEST RESULTS'!$B$5:$B$25,0))&gt;=90,9,IF(INDEX('TEST RESULTS'!$C$5:$C$25,MATCH(A20,'TEST RESULTS'!$B$5:$B$25,0))&gt;=85,8,IF(INDEX('TEST RESULTS'!$C$5:$C$25,MATCH(A20,'TEST RESULTS'!$B$5:$B$25,0))&gt;=80,7,IF(INDEX('TEST RESULTS'!$C$5:$C$25,MATCH(A20,'TEST RESULTS'!$B$5:$B$25,0))&gt;=75,6,IF(INDEX('TEST RESULTS'!$C$5:$C$25,MATCH(A20,'TEST RESULTS'!$B$5:$B$25,0))&gt;=70,5,IF(INDEX('TEST RESULTS'!$C$5:$C$25,MATCH(A20,'TEST RESULTS'!$B$5:$B$25,0))&gt;=65,4,IF(INDEX('TEST RESULTS'!$C$5:$C$25,MATCH(A20,'TEST RESULTS'!$B$5:$B$25,0))&gt;=60,3,0))))))))),0)</f>
        <v>0</v>
      </c>
      <c r="F20">
        <f>IF(INDEX('TEST RESULTS'!$C$5:$C$25,MATCH(A20,'TEST RESULTS'!$B$5:$B$25,0))="",0,IF(E20="",0,IF(D20&gt;E20,0.1,IF(D20&lt;E20,-0.1,0))))</f>
        <v>0</v>
      </c>
      <c r="K20" t="s">
        <v>60</v>
      </c>
      <c r="L20">
        <f>'Rory Bowman'!C10</f>
        <v>0</v>
      </c>
      <c r="M20">
        <f>'Rory Bowman'!C11</f>
        <v>0</v>
      </c>
      <c r="N20">
        <f>'Rory Bowman'!C12</f>
        <v>0</v>
      </c>
      <c r="O20">
        <f>'Rory Bowman'!C13</f>
        <v>0</v>
      </c>
      <c r="P20">
        <f>'Rory Bowman'!C14</f>
        <v>0</v>
      </c>
      <c r="Q20">
        <f>'Rory Bowman'!C5</f>
        <v>0</v>
      </c>
      <c r="R20">
        <f>'Rory Bowman'!C17</f>
        <v>0</v>
      </c>
      <c r="S20">
        <f>'Rory Bowman'!C18</f>
        <v>50</v>
      </c>
      <c r="T20">
        <f>'Rory Bowman'!C19</f>
        <v>0</v>
      </c>
      <c r="U20" t="str">
        <f>'Rory Bowman'!C20</f>
        <v>LESS THAN 5 PLAYERS</v>
      </c>
      <c r="W20" t="str">
        <f t="shared" si="1"/>
        <v>Ava Swinfen  —  £7.0m</v>
      </c>
    </row>
    <row r="21" spans="1:23" x14ac:dyDescent="0.25">
      <c r="A21" t="s">
        <v>60</v>
      </c>
      <c r="B21">
        <v>7</v>
      </c>
      <c r="C21">
        <f t="shared" si="0"/>
        <v>7</v>
      </c>
      <c r="D21">
        <f>IFERROR(IF(INDEX('TEST RESULTS'!$C$5:$C$25,MATCH(A21,'TEST RESULTS'!$B$5:$B$25,0))="",0,IF(INDEX('TEST RESULTS'!$C$5:$C$25,MATCH(A21,'TEST RESULTS'!$B$5:$B$25,0))&gt;=95,10,IF(INDEX('TEST RESULTS'!$C$5:$C$25,MATCH(A21,'TEST RESULTS'!$B$5:$B$25,0))&gt;=90,9,IF(INDEX('TEST RESULTS'!$C$5:$C$25,MATCH(A21,'TEST RESULTS'!$B$5:$B$25,0))&gt;=85,8,IF(INDEX('TEST RESULTS'!$C$5:$C$25,MATCH(A21,'TEST RESULTS'!$B$5:$B$25,0))&gt;=80,7,IF(INDEX('TEST RESULTS'!$C$5:$C$25,MATCH(A21,'TEST RESULTS'!$B$5:$B$25,0))&gt;=75,6,IF(INDEX('TEST RESULTS'!$C$5:$C$25,MATCH(A21,'TEST RESULTS'!$B$5:$B$25,0))&gt;=70,5,IF(INDEX('TEST RESULTS'!$C$5:$C$25,MATCH(A21,'TEST RESULTS'!$B$5:$B$25,0))&gt;=65,4,IF(INDEX('TEST RESULTS'!$C$5:$C$25,MATCH(A21,'TEST RESULTS'!$B$5:$B$25,0))&gt;=60,3,0))))))))),0)</f>
        <v>0</v>
      </c>
      <c r="F21">
        <f>IF(INDEX('TEST RESULTS'!$C$5:$C$25,MATCH(A21,'TEST RESULTS'!$B$5:$B$25,0))="",0,IF(E21="",0,IF(D21&gt;E21,0.1,IF(D21&lt;E21,-0.1,0))))</f>
        <v>0</v>
      </c>
      <c r="K21" t="s">
        <v>61</v>
      </c>
      <c r="L21">
        <f>'Sophie Barker'!C10</f>
        <v>0</v>
      </c>
      <c r="M21">
        <f>'Sophie Barker'!C11</f>
        <v>0</v>
      </c>
      <c r="N21">
        <f>'Sophie Barker'!C12</f>
        <v>0</v>
      </c>
      <c r="O21">
        <f>'Sophie Barker'!C13</f>
        <v>0</v>
      </c>
      <c r="P21">
        <f>'Sophie Barker'!C14</f>
        <v>0</v>
      </c>
      <c r="Q21">
        <f>'Sophie Barker'!C5</f>
        <v>0</v>
      </c>
      <c r="R21">
        <f>'Sophie Barker'!C17</f>
        <v>0</v>
      </c>
      <c r="S21">
        <f>'Sophie Barker'!C18</f>
        <v>50</v>
      </c>
      <c r="T21">
        <f>'Sophie Barker'!C19</f>
        <v>0</v>
      </c>
      <c r="U21" t="str">
        <f>'Sophie Barker'!C20</f>
        <v>LESS THAN 5 PLAYERS</v>
      </c>
      <c r="W21" t="str">
        <f t="shared" si="1"/>
        <v>Rory Bowman  —  £7.0m</v>
      </c>
    </row>
    <row r="22" spans="1:23" x14ac:dyDescent="0.25">
      <c r="A22" t="s">
        <v>62</v>
      </c>
      <c r="B22">
        <v>7</v>
      </c>
      <c r="C22">
        <f t="shared" si="0"/>
        <v>7</v>
      </c>
      <c r="D22">
        <f>IFERROR(IF(INDEX('TEST RESULTS'!$C$5:$C$25,MATCH(A22,'TEST RESULTS'!$B$5:$B$25,0))="",0,IF(INDEX('TEST RESULTS'!$C$5:$C$25,MATCH(A22,'TEST RESULTS'!$B$5:$B$25,0))&gt;=95,10,IF(INDEX('TEST RESULTS'!$C$5:$C$25,MATCH(A22,'TEST RESULTS'!$B$5:$B$25,0))&gt;=90,9,IF(INDEX('TEST RESULTS'!$C$5:$C$25,MATCH(A22,'TEST RESULTS'!$B$5:$B$25,0))&gt;=85,8,IF(INDEX('TEST RESULTS'!$C$5:$C$25,MATCH(A22,'TEST RESULTS'!$B$5:$B$25,0))&gt;=80,7,IF(INDEX('TEST RESULTS'!$C$5:$C$25,MATCH(A22,'TEST RESULTS'!$B$5:$B$25,0))&gt;=75,6,IF(INDEX('TEST RESULTS'!$C$5:$C$25,MATCH(A22,'TEST RESULTS'!$B$5:$B$25,0))&gt;=70,5,IF(INDEX('TEST RESULTS'!$C$5:$C$25,MATCH(A22,'TEST RESULTS'!$B$5:$B$25,0))&gt;=65,4,IF(INDEX('TEST RESULTS'!$C$5:$C$25,MATCH(A22,'TEST RESULTS'!$B$5:$B$25,0))&gt;=60,3,0))))))))),0)</f>
        <v>0</v>
      </c>
      <c r="F22">
        <f>IF(INDEX('TEST RESULTS'!$C$5:$C$25,MATCH(A22,'TEST RESULTS'!$B$5:$B$25,0))="",0,IF(E22="",0,IF(D22&gt;E22,0.1,IF(D22&lt;E22,-0.1,0))))</f>
        <v>0</v>
      </c>
      <c r="K22" t="s">
        <v>62</v>
      </c>
      <c r="L22">
        <f>'Xander Meijer'!C10</f>
        <v>0</v>
      </c>
      <c r="M22">
        <f>'Xander Meijer'!C11</f>
        <v>0</v>
      </c>
      <c r="N22">
        <f>'Xander Meijer'!C12</f>
        <v>0</v>
      </c>
      <c r="O22">
        <f>'Xander Meijer'!C13</f>
        <v>0</v>
      </c>
      <c r="P22">
        <f>'Xander Meijer'!C14</f>
        <v>0</v>
      </c>
      <c r="Q22">
        <f>'Xander Meijer'!C5</f>
        <v>0</v>
      </c>
      <c r="R22">
        <f>'Xander Meijer'!C17</f>
        <v>0</v>
      </c>
      <c r="S22">
        <f>'Xander Meijer'!C18</f>
        <v>50</v>
      </c>
      <c r="T22">
        <f>'Xander Meijer'!C19</f>
        <v>0</v>
      </c>
      <c r="U22" t="str">
        <f>'Xander Meijer'!C20</f>
        <v>LESS THAN 5 PLAYERS</v>
      </c>
      <c r="W22" t="str">
        <f t="shared" si="1"/>
        <v>Xander Meijer  —  £7.0m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475569"/>
  </sheetPr>
  <dimension ref="B1:D35"/>
  <sheetViews>
    <sheetView showGridLines="0" zoomScale="90" workbookViewId="0">
      <selection activeCell="B2" sqref="B2:D2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122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47" priority="1">
      <formula>C20="VALID TEAM"</formula>
    </cfRule>
    <cfRule type="expression" dxfId="46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900-000001000000}">
      <formula1>$C$10:$C$14</formula1>
    </dataValidation>
  </dataValidations>
  <hyperlinks>
    <hyperlink ref="B2" location="'PICK YOUR TEAM'!A1" display="← Back to PICK YOUR TEAM" xr:uid="{00000000-0004-0000-09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9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475569"/>
  </sheetPr>
  <dimension ref="B1:D35"/>
  <sheetViews>
    <sheetView showGridLines="0" zoomScale="90" workbookViewId="0">
      <selection activeCell="C5" sqref="C5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145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168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165</v>
      </c>
      <c r="D10" s="21">
        <f>IF(C10="","",IFERROR(INDEX(CALCULATIONS!$C$2:$C$22,MATCH(C10,CALCULATIONS!$W$2:$W$22,0)),""))</f>
        <v>7</v>
      </c>
    </row>
    <row r="11" spans="2:4" ht="32.1" customHeight="1" x14ac:dyDescent="0.25">
      <c r="B11" s="17">
        <v>2</v>
      </c>
      <c r="C11" s="9" t="s">
        <v>166</v>
      </c>
      <c r="D11" s="21">
        <f>IF(C11="","",IFERROR(INDEX(CALCULATIONS!$C$2:$C$22,MATCH(C11,CALCULATIONS!$W$2:$W$22,0)),""))</f>
        <v>10.5</v>
      </c>
    </row>
    <row r="12" spans="2:4" ht="32.1" customHeight="1" x14ac:dyDescent="0.25">
      <c r="B12" s="17">
        <v>3</v>
      </c>
      <c r="C12" s="9" t="s">
        <v>167</v>
      </c>
      <c r="D12" s="21">
        <f>IF(C12="","",IFERROR(INDEX(CALCULATIONS!$C$2:$C$22,MATCH(C12,CALCULATIONS!$W$2:$W$22,0)),""))</f>
        <v>10.5</v>
      </c>
    </row>
    <row r="13" spans="2:4" ht="32.1" customHeight="1" x14ac:dyDescent="0.25">
      <c r="B13" s="17">
        <v>4</v>
      </c>
      <c r="C13" s="9" t="s">
        <v>168</v>
      </c>
      <c r="D13" s="21">
        <f>IF(C13="","",IFERROR(INDEX(CALCULATIONS!$C$2:$C$22,MATCH(C13,CALCULATIONS!$W$2:$W$22,0)),""))</f>
        <v>13</v>
      </c>
    </row>
    <row r="14" spans="2:4" ht="32.1" customHeight="1" x14ac:dyDescent="0.25">
      <c r="B14" s="17">
        <v>5</v>
      </c>
      <c r="C14" s="9" t="s">
        <v>137</v>
      </c>
      <c r="D14" s="21">
        <f>IF(C14="","",IFERROR(INDEX(CALCULATIONS!$C$2:$C$22,MATCH(C14,CALCULATIONS!$W$2:$W$22,0)),""))</f>
        <v>9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50</v>
      </c>
    </row>
    <row r="18" spans="2:4" ht="30" customHeight="1" x14ac:dyDescent="0.25">
      <c r="B18" s="18" t="s">
        <v>119</v>
      </c>
      <c r="C18" s="22">
        <f>50-C17</f>
        <v>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45" priority="1">
      <formula>C20="VALID TEAM"</formula>
    </cfRule>
    <cfRule type="expression" dxfId="44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A00-000001000000}">
      <formula1>$C$10:$C$14</formula1>
    </dataValidation>
  </dataValidations>
  <hyperlinks>
    <hyperlink ref="B2" location="'PICK YOUR TEAM'!A1" display="← Back to PICK YOUR TEAM" xr:uid="{00000000-0004-0000-0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A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146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43" priority="1">
      <formula>C20="VALID TEAM"</formula>
    </cfRule>
    <cfRule type="expression" dxfId="42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B00-000001000000}">
      <formula1>$C$10:$C$14</formula1>
    </dataValidation>
  </dataValidations>
  <hyperlinks>
    <hyperlink ref="B2" location="'PICK YOUR TEAM'!A1" display="← Back to PICK YOUR TEAM" xr:uid="{00000000-0004-0000-0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B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475569"/>
  </sheetPr>
  <dimension ref="B1:D35"/>
  <sheetViews>
    <sheetView showGridLines="0" zoomScale="90" workbookViewId="0">
      <selection activeCell="B2" sqref="B2:D2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147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171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169</v>
      </c>
      <c r="D10" s="21">
        <f>IF(C10="","",IFERROR(INDEX(CALCULATIONS!$C$2:$C$22,MATCH(C10,CALCULATIONS!$W$2:$W$22,0)),""))</f>
        <v>7</v>
      </c>
    </row>
    <row r="11" spans="2:4" ht="32.1" customHeight="1" x14ac:dyDescent="0.25">
      <c r="B11" s="17">
        <v>2</v>
      </c>
      <c r="C11" s="9" t="s">
        <v>170</v>
      </c>
      <c r="D11" s="21">
        <f>IF(C11="","",IFERROR(INDEX(CALCULATIONS!$C$2:$C$22,MATCH(C11,CALCULATIONS!$W$2:$W$22,0)),""))</f>
        <v>8.5</v>
      </c>
    </row>
    <row r="12" spans="2:4" ht="32.1" customHeight="1" x14ac:dyDescent="0.25">
      <c r="B12" s="17">
        <v>3</v>
      </c>
      <c r="C12" s="9" t="s">
        <v>171</v>
      </c>
      <c r="D12" s="21">
        <f>IF(C12="","",IFERROR(INDEX(CALCULATIONS!$C$2:$C$22,MATCH(C12,CALCULATIONS!$W$2:$W$22,0)),""))</f>
        <v>13</v>
      </c>
    </row>
    <row r="13" spans="2:4" ht="32.1" customHeight="1" x14ac:dyDescent="0.25">
      <c r="B13" s="17">
        <v>4</v>
      </c>
      <c r="C13" s="9" t="s">
        <v>132</v>
      </c>
      <c r="D13" s="21">
        <f>IF(C13="","",IFERROR(INDEX(CALCULATIONS!$C$2:$C$22,MATCH(C13,CALCULATIONS!$W$2:$W$22,0)),""))</f>
        <v>11</v>
      </c>
    </row>
    <row r="14" spans="2:4" ht="32.1" customHeight="1" x14ac:dyDescent="0.25">
      <c r="B14" s="17">
        <v>5</v>
      </c>
      <c r="C14" s="9" t="s">
        <v>172</v>
      </c>
      <c r="D14" s="21">
        <f>IF(C14="","",IFERROR(INDEX(CALCULATIONS!$C$2:$C$22,MATCH(C14,CALCULATIONS!$W$2:$W$22,0)),""))</f>
        <v>9.5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49</v>
      </c>
    </row>
    <row r="18" spans="2:4" ht="30" customHeight="1" x14ac:dyDescent="0.25">
      <c r="B18" s="18" t="s">
        <v>119</v>
      </c>
      <c r="C18" s="22">
        <f>50-C17</f>
        <v>1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41" priority="1">
      <formula>C20="VALID TEAM"</formula>
    </cfRule>
    <cfRule type="expression" dxfId="40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C00-000001000000}">
      <formula1>$C$10:$C$14</formula1>
    </dataValidation>
  </dataValidations>
  <hyperlinks>
    <hyperlink ref="B2" location="'PICK YOUR TEAM'!A1" display="← Back to PICK YOUR TEAM" xr:uid="{00000000-0004-0000-0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C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475569"/>
  </sheetPr>
  <dimension ref="B1:D35"/>
  <sheetViews>
    <sheetView showGridLines="0" zoomScale="90" workbookViewId="0">
      <selection activeCell="G8" sqref="G8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148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171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171</v>
      </c>
      <c r="D10" s="21">
        <f>IF(C10="","",IFERROR(INDEX(CALCULATIONS!$C$2:$C$22,MATCH(C10,CALCULATIONS!$W$2:$W$22,0)),""))</f>
        <v>13</v>
      </c>
    </row>
    <row r="11" spans="2:4" ht="32.1" customHeight="1" x14ac:dyDescent="0.25">
      <c r="B11" s="17">
        <v>2</v>
      </c>
      <c r="C11" s="9" t="s">
        <v>166</v>
      </c>
      <c r="D11" s="21">
        <f>IF(C11="","",IFERROR(INDEX(CALCULATIONS!$C$2:$C$22,MATCH(C11,CALCULATIONS!$W$2:$W$22,0)),""))</f>
        <v>10.5</v>
      </c>
    </row>
    <row r="12" spans="2:4" ht="32.1" customHeight="1" x14ac:dyDescent="0.25">
      <c r="B12" s="17">
        <v>3</v>
      </c>
      <c r="C12" s="9" t="s">
        <v>135</v>
      </c>
      <c r="D12" s="21">
        <f>IF(C12="","",IFERROR(INDEX(CALCULATIONS!$C$2:$C$22,MATCH(C12,CALCULATIONS!$W$2:$W$22,0)),""))</f>
        <v>10.5</v>
      </c>
    </row>
    <row r="13" spans="2:4" ht="32.1" customHeight="1" x14ac:dyDescent="0.25">
      <c r="B13" s="17">
        <v>4</v>
      </c>
      <c r="C13" s="9" t="s">
        <v>169</v>
      </c>
      <c r="D13" s="21">
        <f>IF(C13="","",IFERROR(INDEX(CALCULATIONS!$C$2:$C$22,MATCH(C13,CALCULATIONS!$W$2:$W$22,0)),""))</f>
        <v>7</v>
      </c>
    </row>
    <row r="14" spans="2:4" ht="32.1" customHeight="1" x14ac:dyDescent="0.25">
      <c r="B14" s="17">
        <v>5</v>
      </c>
      <c r="C14" s="9" t="s">
        <v>137</v>
      </c>
      <c r="D14" s="21">
        <f>IF(C14="","",IFERROR(INDEX(CALCULATIONS!$C$2:$C$22,MATCH(C14,CALCULATIONS!$W$2:$W$22,0)),""))</f>
        <v>9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50</v>
      </c>
    </row>
    <row r="18" spans="2:4" ht="30" customHeight="1" x14ac:dyDescent="0.25">
      <c r="B18" s="18" t="s">
        <v>119</v>
      </c>
      <c r="C18" s="22">
        <f>50-C17</f>
        <v>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39" priority="1">
      <formula>C20="VALID TEAM"</formula>
    </cfRule>
    <cfRule type="expression" dxfId="38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D00-000001000000}">
      <formula1>$C$10:$C$14</formula1>
    </dataValidation>
  </dataValidations>
  <hyperlinks>
    <hyperlink ref="B2" location="'PICK YOUR TEAM'!A1" display="← Back to PICK YOUR TEAM" xr:uid="{00000000-0004-0000-0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D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475569"/>
  </sheetPr>
  <dimension ref="B1:D35"/>
  <sheetViews>
    <sheetView showGridLines="0" zoomScale="90" workbookViewId="0">
      <selection activeCell="C5" sqref="C5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149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132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132</v>
      </c>
      <c r="D10" s="21">
        <f>IF(C10="","",IFERROR(INDEX(CALCULATIONS!$C$2:$C$22,MATCH(C10,CALCULATIONS!$W$2:$W$22,0)),""))</f>
        <v>11</v>
      </c>
    </row>
    <row r="11" spans="2:4" ht="32.1" customHeight="1" x14ac:dyDescent="0.25">
      <c r="B11" s="17">
        <v>2</v>
      </c>
      <c r="C11" s="9" t="s">
        <v>173</v>
      </c>
      <c r="D11" s="21">
        <f>IF(C11="","",IFERROR(INDEX(CALCULATIONS!$C$2:$C$22,MATCH(C11,CALCULATIONS!$W$2:$W$22,0)),""))</f>
        <v>9.5</v>
      </c>
    </row>
    <row r="12" spans="2:4" ht="32.1" customHeight="1" x14ac:dyDescent="0.25">
      <c r="B12" s="17">
        <v>3</v>
      </c>
      <c r="C12" s="9" t="s">
        <v>166</v>
      </c>
      <c r="D12" s="21">
        <f>IF(C12="","",IFERROR(INDEX(CALCULATIONS!$C$2:$C$22,MATCH(C12,CALCULATIONS!$W$2:$W$22,0)),""))</f>
        <v>10.5</v>
      </c>
    </row>
    <row r="13" spans="2:4" ht="32.1" customHeight="1" x14ac:dyDescent="0.25">
      <c r="B13" s="17">
        <v>4</v>
      </c>
      <c r="C13" s="9" t="s">
        <v>137</v>
      </c>
      <c r="D13" s="21">
        <f>IF(C13="","",IFERROR(INDEX(CALCULATIONS!$C$2:$C$22,MATCH(C13,CALCULATIONS!$W$2:$W$22,0)),""))</f>
        <v>9</v>
      </c>
    </row>
    <row r="14" spans="2:4" ht="32.1" customHeight="1" x14ac:dyDescent="0.25">
      <c r="B14" s="17">
        <v>5</v>
      </c>
      <c r="C14" s="9" t="s">
        <v>174</v>
      </c>
      <c r="D14" s="21">
        <f>IF(C14="","",IFERROR(INDEX(CALCULATIONS!$C$2:$C$22,MATCH(C14,CALCULATIONS!$W$2:$W$22,0)),""))</f>
        <v>10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50</v>
      </c>
    </row>
    <row r="18" spans="2:4" ht="30" customHeight="1" x14ac:dyDescent="0.25">
      <c r="B18" s="18" t="s">
        <v>119</v>
      </c>
      <c r="C18" s="22">
        <f>50-C17</f>
        <v>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37" priority="1">
      <formula>C20="VALID TEAM"</formula>
    </cfRule>
    <cfRule type="expression" dxfId="36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E00-000001000000}">
      <formula1>$C$10:$C$14</formula1>
    </dataValidation>
  </dataValidations>
  <hyperlinks>
    <hyperlink ref="B2" location="'PICK YOUR TEAM'!A1" display="← Back to PICK YOUR TEAM" xr:uid="{00000000-0004-0000-0E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E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150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35" priority="1">
      <formula>C20="VALID TEAM"</formula>
    </cfRule>
    <cfRule type="expression" dxfId="34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0F00-000001000000}">
      <formula1>$C$10:$C$14</formula1>
    </dataValidation>
  </dataValidations>
  <hyperlinks>
    <hyperlink ref="B2" location="'PICK YOUR TEAM'!A1" display="← Back to PICK YOUR TEAM" xr:uid="{00000000-0004-0000-0F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0F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151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33" priority="1">
      <formula>C20="VALID TEAM"</formula>
    </cfRule>
    <cfRule type="expression" dxfId="32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000-000001000000}">
      <formula1>$C$10:$C$14</formula1>
    </dataValidation>
  </dataValidations>
  <hyperlinks>
    <hyperlink ref="B2" location="'PICK YOUR TEAM'!A1" display="← Back to PICK YOUR TEAM" xr:uid="{00000000-0004-0000-10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0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475569"/>
  </sheetPr>
  <dimension ref="B1:D35"/>
  <sheetViews>
    <sheetView showGridLines="0" zoomScale="90" workbookViewId="0">
      <selection activeCell="H11" sqref="H11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152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134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168</v>
      </c>
      <c r="D10" s="21">
        <f>IF(C10="","",IFERROR(INDEX(CALCULATIONS!$C$2:$C$22,MATCH(C10,CALCULATIONS!$W$2:$W$22,0)),""))</f>
        <v>13</v>
      </c>
    </row>
    <row r="11" spans="2:4" ht="32.1" customHeight="1" x14ac:dyDescent="0.25">
      <c r="B11" s="17">
        <v>2</v>
      </c>
      <c r="C11" s="9" t="s">
        <v>175</v>
      </c>
      <c r="D11" s="21">
        <f>IF(C11="","",IFERROR(INDEX(CALCULATIONS!$C$2:$C$22,MATCH(C11,CALCULATIONS!$W$2:$W$22,0)),""))</f>
        <v>8</v>
      </c>
    </row>
    <row r="12" spans="2:4" ht="32.1" customHeight="1" x14ac:dyDescent="0.25">
      <c r="B12" s="17">
        <v>3</v>
      </c>
      <c r="C12" s="9" t="s">
        <v>137</v>
      </c>
      <c r="D12" s="21">
        <f>IF(C12="","",IFERROR(INDEX(CALCULATIONS!$C$2:$C$22,MATCH(C12,CALCULATIONS!$W$2:$W$22,0)),""))</f>
        <v>9</v>
      </c>
    </row>
    <row r="13" spans="2:4" ht="32.1" customHeight="1" x14ac:dyDescent="0.25">
      <c r="B13" s="17">
        <v>4</v>
      </c>
      <c r="C13" s="9" t="s">
        <v>134</v>
      </c>
      <c r="D13" s="21">
        <f>IF(C13="","",IFERROR(INDEX(CALCULATIONS!$C$2:$C$22,MATCH(C13,CALCULATIONS!$W$2:$W$22,0)),""))</f>
        <v>11</v>
      </c>
    </row>
    <row r="14" spans="2:4" ht="32.1" customHeight="1" x14ac:dyDescent="0.25">
      <c r="B14" s="17">
        <v>5</v>
      </c>
      <c r="C14" s="9" t="s">
        <v>165</v>
      </c>
      <c r="D14" s="21">
        <f>IF(C14="","",IFERROR(INDEX(CALCULATIONS!$C$2:$C$22,MATCH(C14,CALCULATIONS!$W$2:$W$22,0)),""))</f>
        <v>7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48</v>
      </c>
    </row>
    <row r="18" spans="2:4" ht="30" customHeight="1" x14ac:dyDescent="0.25">
      <c r="B18" s="18" t="s">
        <v>119</v>
      </c>
      <c r="C18" s="22">
        <f>50-C17</f>
        <v>2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31" priority="1">
      <formula>C20="VALID TEAM"</formula>
    </cfRule>
    <cfRule type="expression" dxfId="30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100-000001000000}">
      <formula1>$C$10:$C$14</formula1>
    </dataValidation>
  </dataValidations>
  <hyperlinks>
    <hyperlink ref="B2" location="'PICK YOUR TEAM'!A1" display="← Back to PICK YOUR TEAM" xr:uid="{00000000-0004-0000-11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1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153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29" priority="1">
      <formula>C20="VALID TEAM"</formula>
    </cfRule>
    <cfRule type="expression" dxfId="28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200-000001000000}">
      <formula1>$C$10:$C$14</formula1>
    </dataValidation>
  </dataValidations>
  <hyperlinks>
    <hyperlink ref="B2" location="'PICK YOUR TEAM'!A1" display="← Back to PICK YOUR TEAM" xr:uid="{00000000-0004-0000-12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2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154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27" priority="1">
      <formula>C20="VALID TEAM"</formula>
    </cfRule>
    <cfRule type="expression" dxfId="26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300-000001000000}">
      <formula1>$C$10:$C$14</formula1>
    </dataValidation>
  </dataValidations>
  <hyperlinks>
    <hyperlink ref="B2" location="'PICK YOUR TEAM'!A1" display="← Back to PICK YOUR TEAM" xr:uid="{00000000-0004-0000-13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3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155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25" priority="1">
      <formula>C20="VALID TEAM"</formula>
    </cfRule>
    <cfRule type="expression" dxfId="24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400-000001000000}">
      <formula1>$C$10:$C$14</formula1>
    </dataValidation>
  </dataValidations>
  <hyperlinks>
    <hyperlink ref="B2" location="'PICK YOUR TEAM'!A1" display="← Back to PICK YOUR TEAM" xr:uid="{00000000-0004-0000-14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4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156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23" priority="1">
      <formula>C20="VALID TEAM"</formula>
    </cfRule>
    <cfRule type="expression" dxfId="22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500-000001000000}">
      <formula1>$C$10:$C$14</formula1>
    </dataValidation>
  </dataValidations>
  <hyperlinks>
    <hyperlink ref="B2" location="'PICK YOUR TEAM'!A1" display="← Back to PICK YOUR TEAM" xr:uid="{00000000-0004-0000-15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5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157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21" priority="1">
      <formula>C20="VALID TEAM"</formula>
    </cfRule>
    <cfRule type="expression" dxfId="20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600-000001000000}">
      <formula1>$C$10:$C$14</formula1>
    </dataValidation>
  </dataValidations>
  <hyperlinks>
    <hyperlink ref="B2" location="'PICK YOUR TEAM'!A1" display="← Back to PICK YOUR TEAM" xr:uid="{00000000-0004-0000-16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6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475569"/>
  </sheetPr>
  <dimension ref="B1:D35"/>
  <sheetViews>
    <sheetView showGridLines="0" zoomScale="90" workbookViewId="0">
      <selection activeCell="H15" sqref="H15"/>
    </sheetView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158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 t="s">
        <v>171</v>
      </c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 t="s">
        <v>171</v>
      </c>
      <c r="D10" s="21">
        <f>IF(C10="","",IFERROR(INDEX(CALCULATIONS!$C$2:$C$22,MATCH(C10,CALCULATIONS!$W$2:$W$22,0)),""))</f>
        <v>13</v>
      </c>
    </row>
    <row r="11" spans="2:4" ht="32.1" customHeight="1" x14ac:dyDescent="0.25">
      <c r="B11" s="17">
        <v>2</v>
      </c>
      <c r="C11" s="9" t="s">
        <v>137</v>
      </c>
      <c r="D11" s="21">
        <f>IF(C11="","",IFERROR(INDEX(CALCULATIONS!$C$2:$C$22,MATCH(C11,CALCULATIONS!$W$2:$W$22,0)),""))</f>
        <v>9</v>
      </c>
    </row>
    <row r="12" spans="2:4" ht="32.1" customHeight="1" x14ac:dyDescent="0.25">
      <c r="B12" s="17">
        <v>3</v>
      </c>
      <c r="C12" s="9" t="s">
        <v>166</v>
      </c>
      <c r="D12" s="21">
        <f>IF(C12="","",IFERROR(INDEX(CALCULATIONS!$C$2:$C$22,MATCH(C12,CALCULATIONS!$W$2:$W$22,0)),""))</f>
        <v>10.5</v>
      </c>
    </row>
    <row r="13" spans="2:4" ht="32.1" customHeight="1" x14ac:dyDescent="0.25">
      <c r="B13" s="17">
        <v>4</v>
      </c>
      <c r="C13" s="9" t="s">
        <v>135</v>
      </c>
      <c r="D13" s="21">
        <f>IF(C13="","",IFERROR(INDEX(CALCULATIONS!$C$2:$C$22,MATCH(C13,CALCULATIONS!$W$2:$W$22,0)),""))</f>
        <v>10.5</v>
      </c>
    </row>
    <row r="14" spans="2:4" ht="32.1" customHeight="1" x14ac:dyDescent="0.25">
      <c r="B14" s="17">
        <v>5</v>
      </c>
      <c r="C14" s="9" t="s">
        <v>176</v>
      </c>
      <c r="D14" s="21">
        <f>IF(C14="","",IFERROR(INDEX(CALCULATIONS!$C$2:$C$22,MATCH(C14,CALCULATIONS!$W$2:$W$22,0)),""))</f>
        <v>7</v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50</v>
      </c>
    </row>
    <row r="18" spans="2:4" ht="30" customHeight="1" x14ac:dyDescent="0.25">
      <c r="B18" s="18" t="s">
        <v>119</v>
      </c>
      <c r="C18" s="22">
        <f>50-C17</f>
        <v>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VALID TEAM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19" priority="1">
      <formula>C20="VALID TEAM"</formula>
    </cfRule>
    <cfRule type="expression" dxfId="18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700-000001000000}">
      <formula1>$C$10:$C$14</formula1>
    </dataValidation>
  </dataValidations>
  <hyperlinks>
    <hyperlink ref="B2" location="'PICK YOUR TEAM'!A1" display="← Back to PICK YOUR TEAM" xr:uid="{00000000-0004-0000-17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7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159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17" priority="1">
      <formula>C20="VALID TEAM"</formula>
    </cfRule>
    <cfRule type="expression" dxfId="16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800-000001000000}">
      <formula1>$C$10:$C$14</formula1>
    </dataValidation>
  </dataValidations>
  <hyperlinks>
    <hyperlink ref="B2" location="'PICK YOUR TEAM'!A1" display="← Back to PICK YOUR TEAM" xr:uid="{00000000-0004-0000-18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8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160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15" priority="1">
      <formula>C20="VALID TEAM"</formula>
    </cfRule>
    <cfRule type="expression" dxfId="14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900-000001000000}">
      <formula1>$C$10:$C$14</formula1>
    </dataValidation>
  </dataValidations>
  <hyperlinks>
    <hyperlink ref="B2" location="'PICK YOUR TEAM'!A1" display="← Back to PICK YOUR TEAM" xr:uid="{00000000-0004-0000-19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9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161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13" priority="1">
      <formula>C20="VALID TEAM"</formula>
    </cfRule>
    <cfRule type="expression" dxfId="12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A00-000001000000}">
      <formula1>$C$10:$C$14</formula1>
    </dataValidation>
  </dataValidations>
  <hyperlinks>
    <hyperlink ref="B2" location="'PICK YOUR TEAM'!A1" display="← Back to PICK YOUR TEAM" xr:uid="{00000000-0004-0000-1A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A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162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11" priority="1">
      <formula>C20="VALID TEAM"</formula>
    </cfRule>
    <cfRule type="expression" dxfId="10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B00-000001000000}">
      <formula1>$C$10:$C$14</formula1>
    </dataValidation>
  </dataValidations>
  <hyperlinks>
    <hyperlink ref="B2" location="'PICK YOUR TEAM'!A1" display="← Back to PICK YOUR TEAM" xr:uid="{00000000-0004-0000-1B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B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163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9" priority="1">
      <formula>C20="VALID TEAM"</formula>
    </cfRule>
    <cfRule type="expression" dxfId="8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C00-000001000000}">
      <formula1>$C$10:$C$14</formula1>
    </dataValidation>
  </dataValidations>
  <hyperlinks>
    <hyperlink ref="B2" location="'PICK YOUR TEAM'!A1" display="← Back to PICK YOUR TEAM" xr:uid="{00000000-0004-0000-1C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C00-000000000000}">
          <x14:formula1>
            <xm:f>CALCULATIONS!$W$2:$W$22</xm:f>
          </x14:formula1>
          <xm:sqref>C10:C14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475569"/>
  </sheetPr>
  <dimension ref="B1:D35"/>
  <sheetViews>
    <sheetView showGridLines="0" zoomScale="90" workbookViewId="0"/>
  </sheetViews>
  <sheetFormatPr defaultRowHeight="15" x14ac:dyDescent="0.25"/>
  <cols>
    <col min="1" max="1" width="4" customWidth="1"/>
    <col min="2" max="2" width="32" customWidth="1"/>
    <col min="3" max="3" width="34" customWidth="1"/>
    <col min="4" max="4" width="20" customWidth="1"/>
    <col min="5" max="7" width="4" customWidth="1"/>
  </cols>
  <sheetData>
    <row r="1" spans="2:4" ht="51.95" customHeight="1" x14ac:dyDescent="0.25">
      <c r="B1" s="26" t="s">
        <v>164</v>
      </c>
      <c r="C1" s="27"/>
      <c r="D1" s="27"/>
    </row>
    <row r="2" spans="2:4" ht="30" customHeight="1" x14ac:dyDescent="0.25">
      <c r="B2" s="44" t="s">
        <v>123</v>
      </c>
      <c r="C2" s="27"/>
      <c r="D2" s="27"/>
    </row>
    <row r="3" spans="2:4" ht="12" customHeight="1" x14ac:dyDescent="0.25"/>
    <row r="4" spans="2:4" ht="32.1" customHeight="1" x14ac:dyDescent="0.25">
      <c r="B4" s="34" t="s">
        <v>124</v>
      </c>
      <c r="C4" s="27"/>
      <c r="D4" s="27"/>
    </row>
    <row r="5" spans="2:4" ht="33.950000000000003" customHeight="1" x14ac:dyDescent="0.25">
      <c r="C5" s="20"/>
    </row>
    <row r="6" spans="2:4" ht="24" customHeight="1" x14ac:dyDescent="0.25">
      <c r="B6" s="33" t="s">
        <v>125</v>
      </c>
      <c r="C6" s="27"/>
      <c r="D6" s="27"/>
    </row>
    <row r="7" spans="2:4" ht="12" customHeight="1" x14ac:dyDescent="0.25"/>
    <row r="8" spans="2:4" ht="32.1" customHeight="1" x14ac:dyDescent="0.25">
      <c r="B8" s="34" t="s">
        <v>126</v>
      </c>
      <c r="C8" s="27"/>
      <c r="D8" s="27"/>
    </row>
    <row r="9" spans="2:4" ht="32.1" customHeight="1" x14ac:dyDescent="0.25">
      <c r="B9" s="4" t="s">
        <v>127</v>
      </c>
      <c r="C9" s="4" t="s">
        <v>70</v>
      </c>
      <c r="D9" s="4" t="s">
        <v>71</v>
      </c>
    </row>
    <row r="10" spans="2:4" ht="32.1" customHeight="1" x14ac:dyDescent="0.25">
      <c r="B10" s="17">
        <v>1</v>
      </c>
      <c r="C10" s="9"/>
      <c r="D10" s="21" t="str">
        <f>IF(C10="","",IFERROR(INDEX(CALCULATIONS!$C$2:$C$22,MATCH(C10,CALCULATIONS!$W$2:$W$22,0)),""))</f>
        <v/>
      </c>
    </row>
    <row r="11" spans="2:4" ht="32.1" customHeight="1" x14ac:dyDescent="0.25">
      <c r="B11" s="17">
        <v>2</v>
      </c>
      <c r="C11" s="9"/>
      <c r="D11" s="21" t="str">
        <f>IF(C11="","",IFERROR(INDEX(CALCULATIONS!$C$2:$C$22,MATCH(C11,CALCULATIONS!$W$2:$W$22,0)),""))</f>
        <v/>
      </c>
    </row>
    <row r="12" spans="2:4" ht="32.1" customHeight="1" x14ac:dyDescent="0.25">
      <c r="B12" s="17">
        <v>3</v>
      </c>
      <c r="C12" s="9"/>
      <c r="D12" s="21" t="str">
        <f>IF(C12="","",IFERROR(INDEX(CALCULATIONS!$C$2:$C$22,MATCH(C12,CALCULATIONS!$W$2:$W$22,0)),""))</f>
        <v/>
      </c>
    </row>
    <row r="13" spans="2:4" ht="32.1" customHeight="1" x14ac:dyDescent="0.25">
      <c r="B13" s="17">
        <v>4</v>
      </c>
      <c r="C13" s="9"/>
      <c r="D13" s="21" t="str">
        <f>IF(C13="","",IFERROR(INDEX(CALCULATIONS!$C$2:$C$22,MATCH(C13,CALCULATIONS!$W$2:$W$22,0)),""))</f>
        <v/>
      </c>
    </row>
    <row r="14" spans="2:4" ht="32.1" customHeight="1" x14ac:dyDescent="0.25">
      <c r="B14" s="17">
        <v>5</v>
      </c>
      <c r="C14" s="9"/>
      <c r="D14" s="21" t="str">
        <f>IF(C14="","",IFERROR(INDEX(CALCULATIONS!$C$2:$C$22,MATCH(C14,CALCULATIONS!$W$2:$W$22,0)),""))</f>
        <v/>
      </c>
    </row>
    <row r="15" spans="2:4" ht="12" customHeight="1" x14ac:dyDescent="0.25"/>
    <row r="16" spans="2:4" ht="32.1" customHeight="1" x14ac:dyDescent="0.25">
      <c r="B16" s="34" t="s">
        <v>128</v>
      </c>
      <c r="C16" s="27"/>
      <c r="D16" s="27"/>
    </row>
    <row r="17" spans="2:4" ht="30" customHeight="1" x14ac:dyDescent="0.25">
      <c r="B17" s="18" t="s">
        <v>118</v>
      </c>
      <c r="C17" s="22">
        <f>SUM(D10:D14)</f>
        <v>0</v>
      </c>
    </row>
    <row r="18" spans="2:4" ht="30" customHeight="1" x14ac:dyDescent="0.25">
      <c r="B18" s="18" t="s">
        <v>119</v>
      </c>
      <c r="C18" s="22">
        <f>50-C17</f>
        <v>50</v>
      </c>
    </row>
    <row r="19" spans="2:4" ht="30" customHeight="1" x14ac:dyDescent="0.25">
      <c r="B19" s="18" t="s">
        <v>120</v>
      </c>
      <c r="C19" s="23">
        <f>IF($C$20="VALID TEAM",SUMPRODUCT(SUMIF(CALCULATIONS!$W$2:$W$22,C10:C14,CALCULATIONS!$D$2:$D$22))+SUMIF(CALCULATIONS!$W$2:$W$22,C5,CALCULATIONS!$D$2:$D$22),0)</f>
        <v>0</v>
      </c>
    </row>
    <row r="20" spans="2:4" ht="30" customHeight="1" x14ac:dyDescent="0.25">
      <c r="B20" s="18" t="s">
        <v>129</v>
      </c>
      <c r="C20" s="24" t="str">
        <f>IF(COUNTBLANK(C10:C14)&gt;0,"LESS THAN 5 PLAYERS",IF(SUM(D10:D14)&gt;50,"OVER BUDGET",IF(C5="","NO CAPTAIN",IF(COUNTIF(C10:C14,C5)=0,"CAPTAIN NOT IN SQUAD",IF(SUMPRODUCT(COUNTIF(C10:C14,C10:C14))&gt;5,"DUPLICATE PLAYER","VALID TEAM")))))</f>
        <v>LESS THAN 5 PLAYERS</v>
      </c>
    </row>
    <row r="21" spans="2:4" ht="12" customHeight="1" x14ac:dyDescent="0.25"/>
    <row r="22" spans="2:4" x14ac:dyDescent="0.25">
      <c r="B22" s="37" t="s">
        <v>130</v>
      </c>
      <c r="C22" s="27"/>
      <c r="D22" s="27"/>
    </row>
    <row r="23" spans="2:4" x14ac:dyDescent="0.25">
      <c r="B23" s="27"/>
      <c r="C23" s="27"/>
      <c r="D23" s="27"/>
    </row>
    <row r="24" spans="2:4" x14ac:dyDescent="0.25">
      <c r="B24" s="27"/>
      <c r="C24" s="27"/>
      <c r="D24" s="27"/>
    </row>
    <row r="25" spans="2:4" ht="12" customHeight="1" x14ac:dyDescent="0.25"/>
    <row r="26" spans="2:4" ht="32.1" customHeight="1" x14ac:dyDescent="0.25">
      <c r="B26" s="43" t="s">
        <v>131</v>
      </c>
      <c r="C26" s="27"/>
      <c r="D26" s="27"/>
    </row>
    <row r="27" spans="2:4" ht="32.1" customHeight="1" x14ac:dyDescent="0.25">
      <c r="B27" s="25" t="s">
        <v>127</v>
      </c>
      <c r="C27" s="25" t="s">
        <v>70</v>
      </c>
      <c r="D27" s="25" t="s">
        <v>71</v>
      </c>
    </row>
    <row r="28" spans="2:4" ht="27.95" customHeight="1" x14ac:dyDescent="0.25">
      <c r="B28" s="17">
        <v>1</v>
      </c>
      <c r="C28" s="7" t="s">
        <v>132</v>
      </c>
      <c r="D28" s="21" t="s">
        <v>133</v>
      </c>
    </row>
    <row r="29" spans="2:4" ht="27.95" customHeight="1" x14ac:dyDescent="0.25">
      <c r="B29" s="17">
        <v>2</v>
      </c>
      <c r="C29" s="7" t="s">
        <v>134</v>
      </c>
      <c r="D29" s="21" t="s">
        <v>133</v>
      </c>
    </row>
    <row r="30" spans="2:4" ht="27.95" customHeight="1" x14ac:dyDescent="0.25">
      <c r="B30" s="17">
        <v>3</v>
      </c>
      <c r="C30" s="7" t="s">
        <v>135</v>
      </c>
      <c r="D30" s="21" t="s">
        <v>136</v>
      </c>
    </row>
    <row r="31" spans="2:4" ht="27.95" customHeight="1" x14ac:dyDescent="0.25">
      <c r="B31" s="17">
        <v>4</v>
      </c>
      <c r="C31" s="7" t="s">
        <v>137</v>
      </c>
      <c r="D31" s="21" t="s">
        <v>138</v>
      </c>
    </row>
    <row r="32" spans="2:4" ht="27.95" customHeight="1" x14ac:dyDescent="0.25">
      <c r="B32" s="17">
        <v>5</v>
      </c>
      <c r="C32" s="7" t="s">
        <v>139</v>
      </c>
      <c r="D32" s="21" t="s">
        <v>140</v>
      </c>
    </row>
    <row r="33" spans="2:4" ht="27.95" customHeight="1" x14ac:dyDescent="0.25">
      <c r="B33" s="18" t="s">
        <v>85</v>
      </c>
      <c r="C33" s="42" t="s">
        <v>134</v>
      </c>
      <c r="D33" s="27"/>
    </row>
    <row r="34" spans="2:4" ht="27.95" customHeight="1" x14ac:dyDescent="0.25">
      <c r="B34" s="18" t="s">
        <v>141</v>
      </c>
      <c r="C34" s="42" t="s">
        <v>142</v>
      </c>
      <c r="D34" s="27"/>
    </row>
    <row r="35" spans="2:4" ht="27.95" customHeight="1" x14ac:dyDescent="0.25">
      <c r="B35" s="18" t="s">
        <v>143</v>
      </c>
      <c r="C35" s="41" t="s">
        <v>144</v>
      </c>
      <c r="D35" s="27"/>
    </row>
  </sheetData>
  <mergeCells count="11">
    <mergeCell ref="C35:D35"/>
    <mergeCell ref="C34:D34"/>
    <mergeCell ref="B22:D24"/>
    <mergeCell ref="C33:D33"/>
    <mergeCell ref="B1:D1"/>
    <mergeCell ref="B8:D8"/>
    <mergeCell ref="B4:D4"/>
    <mergeCell ref="B16:D16"/>
    <mergeCell ref="B26:D26"/>
    <mergeCell ref="B6:D6"/>
    <mergeCell ref="B2:D2"/>
  </mergeCells>
  <conditionalFormatting sqref="C20">
    <cfRule type="expression" dxfId="7" priority="1">
      <formula>C20="VALID TEAM"</formula>
    </cfRule>
    <cfRule type="expression" dxfId="6" priority="2">
      <formula>C20&lt;&gt;"VALID TEAM"</formula>
    </cfRule>
  </conditionalFormatting>
  <dataValidations count="1">
    <dataValidation type="list" allowBlank="1" showInputMessage="1" showErrorMessage="1" errorTitle="Invalid captain" error="Choose one of your 5 players." promptTitle="Pick a captain" prompt="Pick your captain from your 5 players." sqref="C5" xr:uid="{00000000-0002-0000-1D00-000001000000}">
      <formula1>$C$10:$C$14</formula1>
    </dataValidation>
  </dataValidations>
  <hyperlinks>
    <hyperlink ref="B2" location="'PICK YOUR TEAM'!A1" display="← Back to PICK YOUR TEAM" xr:uid="{00000000-0004-0000-1D00-000000000000}"/>
  </hyperlink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nvalid player" error="Please choose a player from the dropdown list." promptTitle="Pick a player" prompt="Click the arrow to choose a player." xr:uid="{00000000-0002-0000-1D00-000000000000}">
          <x14:formula1>
            <xm:f>CALCULATIONS!$W$2:$W$22</xm:f>
          </x14:formula1>
          <xm:sqref>C10:C14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HOME</vt:lpstr>
      <vt:lpstr>PICK YOUR TEAM</vt:lpstr>
      <vt:lpstr>TEST RESULTS</vt:lpstr>
      <vt:lpstr>PLAYER MARKET</vt:lpstr>
      <vt:lpstr>2. Overall Leaderboard</vt:lpstr>
      <vt:lpstr>3. GW Leaderboard</vt:lpstr>
      <vt:lpstr>RULES</vt:lpstr>
      <vt:lpstr>1. Raw Results</vt:lpstr>
      <vt:lpstr>CALCULATIONS</vt:lpstr>
      <vt:lpstr>Alexa Amesimeku</vt:lpstr>
      <vt:lpstr>Alfie Foley</vt:lpstr>
      <vt:lpstr>Alyza Rai</vt:lpstr>
      <vt:lpstr>Ava Swinfen</vt:lpstr>
      <vt:lpstr>Azlan Husain</vt:lpstr>
      <vt:lpstr>Chinedu Chile</vt:lpstr>
      <vt:lpstr>Daniel Liu</vt:lpstr>
      <vt:lpstr>David Wu</vt:lpstr>
      <vt:lpstr>Edwin Mayers</vt:lpstr>
      <vt:lpstr>Emily Warburton</vt:lpstr>
      <vt:lpstr>Esme Beston</vt:lpstr>
      <vt:lpstr>Iona Smith</vt:lpstr>
      <vt:lpstr>Joe Paige</vt:lpstr>
      <vt:lpstr>Lia Li</vt:lpstr>
      <vt:lpstr>Melody Zhaeentan</vt:lpstr>
      <vt:lpstr>Nina De Saram</vt:lpstr>
      <vt:lpstr>Oscar Day-Duran</vt:lpstr>
      <vt:lpstr>Rebecca Seymour</vt:lpstr>
      <vt:lpstr>Rory Bowman</vt:lpstr>
      <vt:lpstr>Sophie Barker</vt:lpstr>
      <vt:lpstr>Xander Meijer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Chinedu Chile</cp:lastModifiedBy>
  <dcterms:created xsi:type="dcterms:W3CDTF">2026-09-26T17:22:08Z</dcterms:created>
  <dcterms:modified xsi:type="dcterms:W3CDTF">2026-09-27T16:57:10Z</dcterms:modified>
</cp:coreProperties>
</file>
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48b5d172b360b34/Python Stuff/Fantasy League/"/>
    </mc:Choice>
  </mc:AlternateContent>
  <xr:revisionPtr revIDLastSave="59" documentId="11_E666BDBA77AAA4662137A0C4AA3C2226A58E6A8E" xr6:coauthVersionLast="47" xr6:coauthVersionMax="47" xr10:uidLastSave="{5F55E514-7D97-4190-9FB5-B80CB5747B17}"/>
  <bookViews>
    <workbookView xWindow="-120" yWindow="-120" windowWidth="29040" windowHeight="15720" activeTab="7" xr2:uid="{00000000-000D-0000-FFFF-FFFF00000000}"/>
  </bookViews>
  <sheets>
    <sheet name="HOME" sheetId="1" r:id="rId1"/>
    <sheet name="PICK YOUR TEAM" sheetId="2" r:id="rId2"/>
    <sheet name="TEST RESULTS" sheetId="3" r:id="rId3"/>
    <sheet name="PLAYER MARKET" sheetId="4" r:id="rId4"/>
    <sheet name="2. Overall Leaderboard" sheetId="5" r:id="rId5"/>
    <sheet name="3. GW Leaderboard" sheetId="6" r:id="rId6"/>
    <sheet name="RULES" sheetId="7" r:id="rId7"/>
    <sheet name="SETTINGS" sheetId="8" r:id="rId8"/>
    <sheet name="MASTER DATA" sheetId="9" state="hidden" r:id="rId9"/>
    <sheet name="RAW RESULTS" sheetId="10" state="hidden" r:id="rId10"/>
    <sheet name="CALCULATIONS" sheetId="11" r:id="rId11"/>
    <sheet name="Alexa Amesimeku" sheetId="12" r:id="rId12"/>
    <sheet name="Alfie Foley" sheetId="13" r:id="rId13"/>
    <sheet name="Alyza Rai" sheetId="14" r:id="rId14"/>
    <sheet name="Ava Swinfen" sheetId="15" r:id="rId15"/>
    <sheet name="Azlan Husain" sheetId="16" r:id="rId16"/>
    <sheet name="Chinedu Chile" sheetId="17" r:id="rId17"/>
    <sheet name="Daniel Liu" sheetId="18" r:id="rId18"/>
    <sheet name="David Wu" sheetId="19" r:id="rId19"/>
    <sheet name="Edwin Mayers" sheetId="20" r:id="rId20"/>
    <sheet name="Emily Warburton" sheetId="21" r:id="rId21"/>
    <sheet name="Esme Beston" sheetId="22" r:id="rId22"/>
    <sheet name="Iona Smith" sheetId="23" r:id="rId23"/>
    <sheet name="Joe Paige" sheetId="24" r:id="rId24"/>
    <sheet name="Lia Li" sheetId="25" r:id="rId25"/>
    <sheet name="Melody Zhaeentan" sheetId="26" r:id="rId26"/>
    <sheet name="Nina De Saram" sheetId="27" r:id="rId27"/>
    <sheet name="Oscar Day-Duran" sheetId="28" r:id="rId28"/>
    <sheet name="Rebecca Seymour" sheetId="29" r:id="rId29"/>
    <sheet name="Rory Bowman" sheetId="30" r:id="rId30"/>
    <sheet name="Sophie Barker" sheetId="31" r:id="rId31"/>
    <sheet name="Xander Meijer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20" i="31"/>
  <c r="D14" i="31"/>
  <c r="D13" i="31"/>
  <c r="D12" i="31"/>
  <c r="D11" i="31"/>
  <c r="D10" i="31"/>
  <c r="C17" i="31" s="1"/>
  <c r="C20" i="29"/>
  <c r="D14" i="29"/>
  <c r="D13" i="29"/>
  <c r="D12" i="29"/>
  <c r="D11" i="29"/>
  <c r="D10" i="29"/>
  <c r="C17" i="29" s="1"/>
  <c r="C20" i="27"/>
  <c r="D14" i="27"/>
  <c r="D13" i="27"/>
  <c r="D12" i="27"/>
  <c r="D11" i="27"/>
  <c r="D10" i="27"/>
  <c r="C20" i="25"/>
  <c r="D14" i="25"/>
  <c r="D13" i="25"/>
  <c r="D12" i="25"/>
  <c r="D11" i="25"/>
  <c r="D10" i="25"/>
  <c r="C17" i="25" s="1"/>
  <c r="C20" i="23"/>
  <c r="D14" i="23"/>
  <c r="D13" i="23"/>
  <c r="D12" i="23"/>
  <c r="D11" i="23"/>
  <c r="D10" i="23"/>
  <c r="C20" i="22"/>
  <c r="D14" i="22"/>
  <c r="D13" i="22"/>
  <c r="D12" i="22"/>
  <c r="D11" i="22"/>
  <c r="D10" i="22"/>
  <c r="C17" i="22" s="1"/>
  <c r="C20" i="21"/>
  <c r="D14" i="21"/>
  <c r="D13" i="21"/>
  <c r="D12" i="21"/>
  <c r="D11" i="21"/>
  <c r="D10" i="21"/>
  <c r="C17" i="21" s="1"/>
  <c r="C20" i="14"/>
  <c r="D14" i="14"/>
  <c r="D13" i="14"/>
  <c r="D12" i="14"/>
  <c r="D11" i="14"/>
  <c r="D10" i="14"/>
  <c r="C17" i="14" s="1"/>
  <c r="C20" i="12"/>
  <c r="U2" i="11" s="1"/>
  <c r="C19" i="12"/>
  <c r="D14" i="12"/>
  <c r="D13" i="12"/>
  <c r="D12" i="12"/>
  <c r="D11" i="12"/>
  <c r="D10" i="12"/>
  <c r="C17" i="12" s="1"/>
  <c r="Q22" i="11"/>
  <c r="P22" i="11"/>
  <c r="O22" i="11"/>
  <c r="N22" i="11"/>
  <c r="M22" i="11"/>
  <c r="L22" i="11"/>
  <c r="D22" i="11"/>
  <c r="Q21" i="11"/>
  <c r="P21" i="11"/>
  <c r="O21" i="11"/>
  <c r="N21" i="11"/>
  <c r="M21" i="11"/>
  <c r="L21" i="11"/>
  <c r="D21" i="11"/>
  <c r="Q20" i="11"/>
  <c r="P20" i="11"/>
  <c r="O20" i="11"/>
  <c r="N20" i="11"/>
  <c r="M20" i="11"/>
  <c r="L20" i="11"/>
  <c r="D20" i="11"/>
  <c r="Q19" i="11"/>
  <c r="P19" i="11"/>
  <c r="O19" i="11"/>
  <c r="N19" i="11"/>
  <c r="M19" i="11"/>
  <c r="L19" i="11"/>
  <c r="D19" i="11"/>
  <c r="Q18" i="11"/>
  <c r="P18" i="11"/>
  <c r="O18" i="11"/>
  <c r="N18" i="11"/>
  <c r="M18" i="11"/>
  <c r="L18" i="11"/>
  <c r="D18" i="11"/>
  <c r="Q17" i="11"/>
  <c r="P17" i="11"/>
  <c r="O17" i="11"/>
  <c r="N17" i="11"/>
  <c r="M17" i="11"/>
  <c r="L17" i="11"/>
  <c r="D17" i="11"/>
  <c r="C17" i="11"/>
  <c r="Q16" i="11"/>
  <c r="P16" i="11"/>
  <c r="O16" i="11"/>
  <c r="N16" i="11"/>
  <c r="M16" i="11"/>
  <c r="L16" i="11"/>
  <c r="D16" i="11"/>
  <c r="Q15" i="11"/>
  <c r="P15" i="11"/>
  <c r="O15" i="11"/>
  <c r="N15" i="11"/>
  <c r="M15" i="11"/>
  <c r="L15" i="11"/>
  <c r="D15" i="11"/>
  <c r="Q14" i="11"/>
  <c r="P14" i="11"/>
  <c r="O14" i="11"/>
  <c r="N14" i="11"/>
  <c r="M14" i="11"/>
  <c r="L14" i="11"/>
  <c r="D14" i="11"/>
  <c r="Q13" i="11"/>
  <c r="P13" i="11"/>
  <c r="O13" i="11"/>
  <c r="N13" i="11"/>
  <c r="M13" i="11"/>
  <c r="L13" i="11"/>
  <c r="D13" i="11"/>
  <c r="Q12" i="11"/>
  <c r="P12" i="11"/>
  <c r="O12" i="11"/>
  <c r="N12" i="11"/>
  <c r="M12" i="11"/>
  <c r="L12" i="11"/>
  <c r="D12" i="11"/>
  <c r="Q11" i="11"/>
  <c r="P11" i="11"/>
  <c r="O11" i="11"/>
  <c r="N11" i="11"/>
  <c r="M11" i="11"/>
  <c r="L11" i="11"/>
  <c r="D11" i="11"/>
  <c r="Q10" i="11"/>
  <c r="P10" i="11"/>
  <c r="O10" i="11"/>
  <c r="N10" i="11"/>
  <c r="M10" i="11"/>
  <c r="L10" i="11"/>
  <c r="D10" i="11"/>
  <c r="Q9" i="11"/>
  <c r="P9" i="11"/>
  <c r="O9" i="11"/>
  <c r="N9" i="11"/>
  <c r="M9" i="11"/>
  <c r="L9" i="11"/>
  <c r="D9" i="11"/>
  <c r="Q8" i="11"/>
  <c r="P8" i="11"/>
  <c r="O8" i="11"/>
  <c r="N8" i="11"/>
  <c r="M8" i="11"/>
  <c r="L8" i="11"/>
  <c r="D8" i="11"/>
  <c r="Q7" i="11"/>
  <c r="P7" i="11"/>
  <c r="O7" i="11"/>
  <c r="N7" i="11"/>
  <c r="M7" i="11"/>
  <c r="L7" i="11"/>
  <c r="D7" i="11"/>
  <c r="Q6" i="11"/>
  <c r="P6" i="11"/>
  <c r="O6" i="11"/>
  <c r="N6" i="11"/>
  <c r="M6" i="11"/>
  <c r="L6" i="11"/>
  <c r="D6" i="11"/>
  <c r="Q5" i="11"/>
  <c r="P5" i="11"/>
  <c r="O5" i="11"/>
  <c r="N5" i="11"/>
  <c r="M5" i="11"/>
  <c r="L5" i="11"/>
  <c r="D5" i="11"/>
  <c r="Q4" i="11"/>
  <c r="P4" i="11"/>
  <c r="O4" i="11"/>
  <c r="N4" i="11"/>
  <c r="M4" i="11"/>
  <c r="L4" i="11"/>
  <c r="D4" i="11"/>
  <c r="Q3" i="11"/>
  <c r="P3" i="11"/>
  <c r="O3" i="11"/>
  <c r="N3" i="11"/>
  <c r="M3" i="11"/>
  <c r="L3" i="11"/>
  <c r="D3" i="11"/>
  <c r="Q2" i="11"/>
  <c r="P2" i="11"/>
  <c r="O2" i="11"/>
  <c r="N2" i="11"/>
  <c r="M2" i="11"/>
  <c r="L2" i="11"/>
  <c r="D2" i="11"/>
  <c r="H22" i="9"/>
  <c r="G22" i="9"/>
  <c r="F22" i="9"/>
  <c r="E22" i="9"/>
  <c r="D22" i="9"/>
  <c r="C22" i="9"/>
  <c r="H21" i="9"/>
  <c r="G21" i="9"/>
  <c r="F21" i="9"/>
  <c r="E21" i="9"/>
  <c r="D21" i="9"/>
  <c r="C21" i="9"/>
  <c r="H20" i="9"/>
  <c r="G20" i="9"/>
  <c r="F20" i="9"/>
  <c r="E20" i="9"/>
  <c r="D20" i="9"/>
  <c r="C20" i="9"/>
  <c r="H19" i="9"/>
  <c r="G19" i="9"/>
  <c r="F19" i="9"/>
  <c r="E19" i="9"/>
  <c r="D19" i="9"/>
  <c r="C19" i="9"/>
  <c r="H18" i="9"/>
  <c r="G18" i="9"/>
  <c r="F18" i="9"/>
  <c r="E18" i="9"/>
  <c r="D18" i="9"/>
  <c r="C18" i="9"/>
  <c r="H17" i="9"/>
  <c r="G17" i="9"/>
  <c r="F17" i="9"/>
  <c r="E17" i="9"/>
  <c r="D17" i="9"/>
  <c r="C17" i="9"/>
  <c r="H16" i="9"/>
  <c r="G16" i="9"/>
  <c r="F16" i="9"/>
  <c r="E16" i="9"/>
  <c r="D16" i="9"/>
  <c r="C16" i="9"/>
  <c r="H15" i="9"/>
  <c r="G15" i="9"/>
  <c r="F15" i="9"/>
  <c r="E15" i="9"/>
  <c r="D15" i="9"/>
  <c r="C15" i="9"/>
  <c r="H14" i="9"/>
  <c r="G14" i="9"/>
  <c r="F14" i="9"/>
  <c r="E14" i="9"/>
  <c r="D14" i="9"/>
  <c r="C14" i="9"/>
  <c r="H13" i="9"/>
  <c r="G13" i="9"/>
  <c r="F13" i="9"/>
  <c r="E13" i="9"/>
  <c r="D13" i="9"/>
  <c r="C13" i="9"/>
  <c r="H12" i="9"/>
  <c r="G12" i="9"/>
  <c r="F12" i="9"/>
  <c r="E12" i="9"/>
  <c r="D12" i="9"/>
  <c r="C12" i="9"/>
  <c r="H11" i="9"/>
  <c r="G11" i="9"/>
  <c r="F11" i="9"/>
  <c r="E11" i="9"/>
  <c r="D11" i="9"/>
  <c r="C11" i="9"/>
  <c r="H10" i="9"/>
  <c r="G10" i="9"/>
  <c r="F10" i="9"/>
  <c r="E10" i="9"/>
  <c r="D10" i="9"/>
  <c r="C10" i="9"/>
  <c r="H9" i="9"/>
  <c r="G9" i="9"/>
  <c r="F9" i="9"/>
  <c r="E9" i="9"/>
  <c r="D9" i="9"/>
  <c r="C9" i="9"/>
  <c r="H8" i="9"/>
  <c r="G8" i="9"/>
  <c r="F8" i="9"/>
  <c r="E8" i="9"/>
  <c r="D8" i="9"/>
  <c r="C8" i="9"/>
  <c r="H7" i="9"/>
  <c r="G7" i="9"/>
  <c r="F7" i="9"/>
  <c r="E7" i="9"/>
  <c r="D7" i="9"/>
  <c r="C7" i="9"/>
  <c r="H6" i="9"/>
  <c r="G6" i="9"/>
  <c r="F6" i="9"/>
  <c r="E6" i="9"/>
  <c r="D6" i="9"/>
  <c r="C6" i="9"/>
  <c r="H5" i="9"/>
  <c r="G5" i="9"/>
  <c r="F5" i="9"/>
  <c r="E5" i="9"/>
  <c r="D5" i="9"/>
  <c r="C5" i="9"/>
  <c r="H4" i="9"/>
  <c r="G4" i="9"/>
  <c r="F4" i="9"/>
  <c r="E4" i="9"/>
  <c r="D4" i="9"/>
  <c r="C4" i="9"/>
  <c r="H3" i="9"/>
  <c r="G3" i="9"/>
  <c r="F3" i="9"/>
  <c r="E3" i="9"/>
  <c r="D3" i="9"/>
  <c r="C3" i="9"/>
  <c r="H2" i="9"/>
  <c r="G2" i="9"/>
  <c r="F2" i="9"/>
  <c r="E2" i="9"/>
  <c r="D2" i="9"/>
  <c r="C2" i="9"/>
  <c r="D42" i="8"/>
  <c r="F42" i="8" s="1"/>
  <c r="C22" i="11" s="1"/>
  <c r="D41" i="8"/>
  <c r="F41" i="8" s="1"/>
  <c r="C21" i="11" s="1"/>
  <c r="D40" i="8"/>
  <c r="F40" i="8" s="1"/>
  <c r="C20" i="11" s="1"/>
  <c r="D39" i="8"/>
  <c r="F39" i="8" s="1"/>
  <c r="C19" i="11" s="1"/>
  <c r="D38" i="8"/>
  <c r="F38" i="8" s="1"/>
  <c r="C18" i="11" s="1"/>
  <c r="F37" i="8"/>
  <c r="D37" i="8"/>
  <c r="D36" i="8"/>
  <c r="F36" i="8" s="1"/>
  <c r="C16" i="11" s="1"/>
  <c r="D35" i="8"/>
  <c r="F35" i="8" s="1"/>
  <c r="C15" i="11" s="1"/>
  <c r="D34" i="8"/>
  <c r="F34" i="8" s="1"/>
  <c r="C14" i="11" s="1"/>
  <c r="D33" i="8"/>
  <c r="F33" i="8" s="1"/>
  <c r="C13" i="11" s="1"/>
  <c r="D32" i="8"/>
  <c r="F32" i="8" s="1"/>
  <c r="C12" i="11" s="1"/>
  <c r="D31" i="8"/>
  <c r="F31" i="8" s="1"/>
  <c r="C11" i="11" s="1"/>
  <c r="D30" i="8"/>
  <c r="F30" i="8" s="1"/>
  <c r="C10" i="11" s="1"/>
  <c r="D29" i="8"/>
  <c r="F29" i="8" s="1"/>
  <c r="C9" i="11" s="1"/>
  <c r="D28" i="8"/>
  <c r="F28" i="8" s="1"/>
  <c r="C8" i="11" s="1"/>
  <c r="D27" i="8"/>
  <c r="F27" i="8" s="1"/>
  <c r="C7" i="11" s="1"/>
  <c r="D26" i="8"/>
  <c r="F26" i="8" s="1"/>
  <c r="C6" i="11" s="1"/>
  <c r="D25" i="8"/>
  <c r="F25" i="8" s="1"/>
  <c r="C5" i="11" s="1"/>
  <c r="D24" i="8"/>
  <c r="F24" i="8" s="1"/>
  <c r="C4" i="11" s="1"/>
  <c r="D23" i="8"/>
  <c r="F23" i="8" s="1"/>
  <c r="C3" i="11" s="1"/>
  <c r="D22" i="8"/>
  <c r="F22" i="8" s="1"/>
  <c r="C2" i="11" s="1"/>
  <c r="C3" i="6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C17" i="27" l="1"/>
  <c r="U12" i="11"/>
  <c r="C19" i="22"/>
  <c r="U11" i="11"/>
  <c r="C19" i="21"/>
  <c r="C17" i="23"/>
  <c r="C19" i="31"/>
  <c r="U21" i="11"/>
  <c r="C19" i="29"/>
  <c r="U19" i="11"/>
  <c r="C19" i="27"/>
  <c r="U17" i="11"/>
  <c r="C19" i="25"/>
  <c r="U15" i="11"/>
  <c r="C19" i="23"/>
  <c r="U13" i="11"/>
  <c r="T12" i="11"/>
  <c r="V12" i="11" s="1"/>
  <c r="C15" i="2"/>
  <c r="T11" i="11"/>
  <c r="V11" i="11" s="1"/>
  <c r="C14" i="2"/>
  <c r="C19" i="14"/>
  <c r="U4" i="11"/>
  <c r="C18" i="31"/>
  <c r="S21" i="11" s="1"/>
  <c r="R21" i="11"/>
  <c r="R19" i="11"/>
  <c r="C18" i="29"/>
  <c r="S19" i="11" s="1"/>
  <c r="C18" i="27"/>
  <c r="S17" i="11" s="1"/>
  <c r="R17" i="11"/>
  <c r="C18" i="25"/>
  <c r="S15" i="11" s="1"/>
  <c r="R15" i="11"/>
  <c r="C18" i="23"/>
  <c r="S13" i="11" s="1"/>
  <c r="R13" i="11"/>
  <c r="C18" i="22"/>
  <c r="S12" i="11" s="1"/>
  <c r="R12" i="11"/>
  <c r="C18" i="21"/>
  <c r="S11" i="11" s="1"/>
  <c r="R11" i="11"/>
  <c r="C18" i="14"/>
  <c r="S4" i="11" s="1"/>
  <c r="R4" i="11"/>
  <c r="C18" i="12"/>
  <c r="S2" i="11" s="1"/>
  <c r="R2" i="11"/>
  <c r="T19" i="11"/>
  <c r="V19" i="11" s="1"/>
  <c r="C22" i="2"/>
  <c r="T17" i="11"/>
  <c r="V17" i="11" s="1"/>
  <c r="C20" i="2"/>
  <c r="D20" i="4"/>
  <c r="C20" i="4"/>
  <c r="T15" i="11"/>
  <c r="V15" i="11" s="1"/>
  <c r="C18" i="2"/>
  <c r="T4" i="11"/>
  <c r="V4" i="11" s="1"/>
  <c r="C7" i="2"/>
  <c r="T2" i="11"/>
  <c r="V2" i="11" s="1"/>
  <c r="C5" i="2"/>
  <c r="E10" i="4"/>
  <c r="E8" i="4"/>
  <c r="E5" i="4"/>
  <c r="E18" i="4"/>
  <c r="E16" i="4"/>
  <c r="E20" i="4"/>
  <c r="E23" i="4"/>
  <c r="E21" i="4"/>
  <c r="E14" i="4"/>
  <c r="E6" i="4"/>
  <c r="E7" i="4"/>
  <c r="E9" i="4"/>
  <c r="E24" i="4"/>
  <c r="E22" i="4"/>
  <c r="E11" i="4"/>
  <c r="E19" i="4"/>
  <c r="E17" i="4"/>
  <c r="E25" i="4"/>
  <c r="E15" i="4"/>
  <c r="E13" i="4"/>
  <c r="E12" i="4"/>
  <c r="C25" i="4"/>
  <c r="D25" i="4"/>
  <c r="D14" i="26"/>
  <c r="D24" i="4"/>
  <c r="C24" i="4"/>
  <c r="D10" i="15"/>
  <c r="C23" i="4"/>
  <c r="D23" i="4"/>
  <c r="D10" i="13"/>
  <c r="D11" i="18"/>
  <c r="D14" i="20"/>
  <c r="D11" i="30"/>
  <c r="D12" i="32"/>
  <c r="D22" i="4"/>
  <c r="D13" i="16"/>
  <c r="D12" i="24"/>
  <c r="C22" i="4"/>
  <c r="D14" i="24"/>
  <c r="C21" i="4"/>
  <c r="D10" i="28"/>
  <c r="D21" i="4"/>
  <c r="D19" i="4"/>
  <c r="D11" i="20"/>
  <c r="C19" i="4"/>
  <c r="C18" i="4"/>
  <c r="D18" i="4"/>
  <c r="D14" i="32"/>
  <c r="D11" i="15"/>
  <c r="D14" i="13"/>
  <c r="C17" i="4"/>
  <c r="D17" i="4"/>
  <c r="D14" i="16"/>
  <c r="D13" i="17"/>
  <c r="D12" i="19"/>
  <c r="D12" i="20"/>
  <c r="D11" i="26"/>
  <c r="D13" i="30"/>
  <c r="D12" i="26"/>
  <c r="C16" i="4"/>
  <c r="D16" i="4"/>
  <c r="D11" i="19"/>
  <c r="C15" i="4"/>
  <c r="D15" i="4"/>
  <c r="D11" i="17"/>
  <c r="D14" i="4"/>
  <c r="C14" i="4"/>
  <c r="D12" i="28"/>
  <c r="C13" i="4"/>
  <c r="D13" i="4"/>
  <c r="C12" i="4"/>
  <c r="D12" i="4"/>
  <c r="D14" i="17"/>
  <c r="D10" i="19"/>
  <c r="D12" i="16"/>
  <c r="D14" i="19"/>
  <c r="D13" i="32"/>
  <c r="D11" i="24"/>
  <c r="D13" i="26"/>
  <c r="D14" i="28"/>
  <c r="C11" i="4"/>
  <c r="D11" i="4"/>
  <c r="D11" i="13"/>
  <c r="D14" i="15"/>
  <c r="D12" i="17"/>
  <c r="D13" i="18"/>
  <c r="D10" i="30"/>
  <c r="D11" i="32"/>
  <c r="C10" i="4"/>
  <c r="D13" i="28"/>
  <c r="D10" i="4"/>
  <c r="C9" i="4"/>
  <c r="D9" i="4"/>
  <c r="D10" i="18"/>
  <c r="D12" i="13"/>
  <c r="D12" i="30"/>
  <c r="D8" i="4"/>
  <c r="C8" i="4"/>
  <c r="D10" i="16"/>
  <c r="D12" i="18"/>
  <c r="D13" i="20"/>
  <c r="D11" i="16"/>
  <c r="D10" i="17"/>
  <c r="D14" i="18"/>
  <c r="D13" i="19"/>
  <c r="C7" i="4"/>
  <c r="D11" i="28"/>
  <c r="D7" i="4"/>
  <c r="D13" i="15"/>
  <c r="D10" i="24"/>
  <c r="D13" i="13"/>
  <c r="C6" i="4"/>
  <c r="D6" i="4"/>
  <c r="D10" i="20"/>
  <c r="D12" i="15"/>
  <c r="D14" i="30"/>
  <c r="D10" i="32"/>
  <c r="D10" i="26"/>
  <c r="D13" i="24"/>
  <c r="C5" i="4"/>
  <c r="D5" i="4"/>
  <c r="T21" i="11" l="1"/>
  <c r="V21" i="11" s="1"/>
  <c r="C24" i="2"/>
  <c r="T13" i="11"/>
  <c r="V13" i="11" s="1"/>
  <c r="C16" i="2"/>
  <c r="C17" i="15"/>
  <c r="C20" i="15"/>
  <c r="C17" i="13"/>
  <c r="C20" i="13"/>
  <c r="C17" i="28"/>
  <c r="C20" i="28"/>
  <c r="C17" i="19"/>
  <c r="C20" i="19"/>
  <c r="C17" i="30"/>
  <c r="C20" i="30"/>
  <c r="C17" i="18"/>
  <c r="C20" i="18"/>
  <c r="C17" i="16"/>
  <c r="C20" i="16"/>
  <c r="C17" i="17"/>
  <c r="C20" i="17"/>
  <c r="C20" i="24"/>
  <c r="C17" i="24"/>
  <c r="C17" i="20"/>
  <c r="C20" i="20"/>
  <c r="C17" i="32"/>
  <c r="C20" i="32"/>
  <c r="C17" i="26"/>
  <c r="C20" i="26"/>
  <c r="R5" i="11" l="1"/>
  <c r="C18" i="15"/>
  <c r="S5" i="11" s="1"/>
  <c r="C19" i="15"/>
  <c r="U5" i="11"/>
  <c r="C18" i="13"/>
  <c r="S3" i="11" s="1"/>
  <c r="R3" i="11"/>
  <c r="U3" i="11"/>
  <c r="C19" i="13"/>
  <c r="R18" i="11"/>
  <c r="C18" i="28"/>
  <c r="S18" i="11" s="1"/>
  <c r="C19" i="28"/>
  <c r="U18" i="11"/>
  <c r="C18" i="19"/>
  <c r="S9" i="11" s="1"/>
  <c r="R9" i="11"/>
  <c r="U9" i="11"/>
  <c r="C19" i="19"/>
  <c r="C18" i="30"/>
  <c r="S20" i="11" s="1"/>
  <c r="R20" i="11"/>
  <c r="U20" i="11"/>
  <c r="C19" i="30"/>
  <c r="C18" i="18"/>
  <c r="S8" i="11" s="1"/>
  <c r="R8" i="11"/>
  <c r="U8" i="11"/>
  <c r="C19" i="18"/>
  <c r="C18" i="16"/>
  <c r="S6" i="11" s="1"/>
  <c r="R6" i="11"/>
  <c r="U6" i="11"/>
  <c r="C19" i="16"/>
  <c r="C18" i="17"/>
  <c r="S7" i="11" s="1"/>
  <c r="R7" i="11"/>
  <c r="U7" i="11"/>
  <c r="C19" i="17"/>
  <c r="C19" i="24"/>
  <c r="U14" i="11"/>
  <c r="R14" i="11"/>
  <c r="C18" i="24"/>
  <c r="S14" i="11" s="1"/>
  <c r="C18" i="20"/>
  <c r="S10" i="11" s="1"/>
  <c r="R10" i="11"/>
  <c r="U10" i="11"/>
  <c r="C19" i="20"/>
  <c r="C18" i="32"/>
  <c r="S22" i="11" s="1"/>
  <c r="R22" i="11"/>
  <c r="U22" i="11"/>
  <c r="C19" i="32"/>
  <c r="R16" i="11"/>
  <c r="C18" i="26"/>
  <c r="S16" i="11" s="1"/>
  <c r="C19" i="26"/>
  <c r="U16" i="11"/>
  <c r="C8" i="2" l="1"/>
  <c r="T5" i="11"/>
  <c r="V5" i="11" s="1"/>
  <c r="C6" i="2"/>
  <c r="T3" i="11"/>
  <c r="V3" i="11" s="1"/>
  <c r="T18" i="11"/>
  <c r="V18" i="11" s="1"/>
  <c r="C21" i="2"/>
  <c r="C12" i="2"/>
  <c r="T9" i="11"/>
  <c r="V9" i="11" s="1"/>
  <c r="C23" i="2"/>
  <c r="T20" i="11"/>
  <c r="V20" i="11" s="1"/>
  <c r="C11" i="2"/>
  <c r="T8" i="11"/>
  <c r="V8" i="11" s="1"/>
  <c r="C9" i="2"/>
  <c r="T6" i="11"/>
  <c r="V6" i="11" s="1"/>
  <c r="C10" i="2"/>
  <c r="T7" i="11"/>
  <c r="V7" i="11" s="1"/>
  <c r="T14" i="11"/>
  <c r="V14" i="11" s="1"/>
  <c r="C17" i="2"/>
  <c r="C13" i="2"/>
  <c r="T10" i="11"/>
  <c r="V10" i="11" s="1"/>
  <c r="C25" i="2"/>
  <c r="T22" i="11"/>
  <c r="V22" i="11" s="1"/>
  <c r="C19" i="2"/>
  <c r="T16" i="11"/>
  <c r="V16" i="11" s="1"/>
  <c r="D21" i="6" l="1"/>
  <c r="D18" i="6"/>
  <c r="D17" i="6"/>
  <c r="D16" i="6"/>
  <c r="D15" i="6"/>
  <c r="D14" i="6"/>
  <c r="B14" i="6" s="1" a="1"/>
  <c r="D13" i="6"/>
  <c r="B13" i="6" s="1" a="1"/>
  <c r="C12" i="6"/>
  <c r="C11" i="6"/>
  <c r="C10" i="6"/>
  <c r="C9" i="6"/>
  <c r="D7" i="5"/>
  <c r="D28" i="6"/>
  <c r="C28" i="6"/>
  <c r="C11" i="5"/>
  <c r="C10" i="5"/>
  <c r="C9" i="5"/>
  <c r="C7" i="5"/>
  <c r="C26" i="6"/>
  <c r="D20" i="6"/>
  <c r="D27" i="6"/>
  <c r="C27" i="6"/>
  <c r="D26" i="6"/>
  <c r="D25" i="6"/>
  <c r="C25" i="6"/>
  <c r="D24" i="6"/>
  <c r="C24" i="6"/>
  <c r="D23" i="6"/>
  <c r="D22" i="6"/>
  <c r="C22" i="6"/>
  <c r="C21" i="6"/>
  <c r="C23" i="6"/>
  <c r="D19" i="6"/>
  <c r="C20" i="6"/>
  <c r="C19" i="6"/>
  <c r="C18" i="6"/>
  <c r="C17" i="6"/>
  <c r="C16" i="6"/>
  <c r="C15" i="6"/>
  <c r="C14" i="6"/>
  <c r="C13" i="6"/>
  <c r="D12" i="6"/>
  <c r="D11" i="6"/>
  <c r="D10" i="6"/>
  <c r="D9" i="6"/>
  <c r="D8" i="6"/>
  <c r="C8" i="6"/>
  <c r="D8" i="5"/>
  <c r="D11" i="5"/>
  <c r="D10" i="5"/>
  <c r="D9" i="5"/>
  <c r="C8" i="5"/>
  <c r="C6" i="5"/>
  <c r="D6" i="5"/>
  <c r="D26" i="5"/>
  <c r="D25" i="5"/>
  <c r="C25" i="5"/>
  <c r="D24" i="5"/>
  <c r="C24" i="5"/>
  <c r="D23" i="5"/>
  <c r="C23" i="5"/>
  <c r="D22" i="5"/>
  <c r="C22" i="5"/>
  <c r="D21" i="5"/>
  <c r="C21" i="5"/>
  <c r="D20" i="5"/>
  <c r="C20" i="5"/>
  <c r="C26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B24" i="6" l="1" a="1"/>
  <c r="B10" i="6" a="1"/>
  <c r="B5" i="6"/>
  <c r="B16" i="6" a="1"/>
  <c r="B8" i="6" a="1"/>
  <c r="B19" i="6" a="1"/>
  <c r="B25" i="6" a="1"/>
  <c r="B9" i="6" a="1"/>
  <c r="B17" i="6" a="1"/>
  <c r="B21" i="6" a="1"/>
  <c r="B11" i="6" a="1"/>
  <c r="B15" i="6" a="1"/>
  <c r="B3" i="5"/>
  <c r="B6" i="5" a="1"/>
  <c r="B7" i="5" a="1"/>
  <c r="B9" i="5" a="1"/>
  <c r="B11" i="5" a="1"/>
  <c r="B13" i="5" a="1"/>
  <c r="B15" i="5" a="1"/>
  <c r="B17" i="5" a="1"/>
  <c r="B19" i="5" a="1"/>
  <c r="B22" i="5" a="1"/>
  <c r="B24" i="5" a="1"/>
  <c r="B26" i="5" a="1"/>
  <c r="B8" i="5" a="1"/>
  <c r="B10" i="5" a="1"/>
  <c r="B12" i="5" a="1"/>
  <c r="B14" i="5" a="1"/>
  <c r="B16" i="5" a="1"/>
  <c r="B18" i="5" a="1"/>
  <c r="B20" i="5" a="1"/>
  <c r="B21" i="5" a="1"/>
  <c r="B23" i="5" a="1"/>
  <c r="B25" i="5" a="1"/>
  <c r="B28" i="6" a="1"/>
  <c r="B20" i="6" a="1"/>
  <c r="B27" i="6" a="1"/>
  <c r="B26" i="6" a="1"/>
  <c r="B23" i="6" a="1"/>
  <c r="B22" i="6" a="1"/>
  <c r="B12" i="6" a="1"/>
  <c r="B1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<sst xmlns="http://schemas.openxmlformats.org/spreadsheetml/2006/main" count="721" uniqueCount="199">
  <si>
    <t>YEAR 11 FANTASY LEAGUE</t>
  </si>
  <si>
    <t>GAMEWEEK 1</t>
  </si>
  <si>
    <t>CURRENT GAMEWEEK:</t>
  </si>
  <si>
    <t>HOW TO PLAY</t>
  </si>
  <si>
    <t>1.  Go to PICK YOUR TEAM and click your name.</t>
  </si>
  <si>
    <t>2.  Pick 5 players from the dropdowns.</t>
  </si>
  <si>
    <t>3.  Pick 1 captain using the GOLD CAPTAIN BOX.</t>
  </si>
  <si>
    <t>4.  Stay under the £50m budget.</t>
  </si>
  <si>
    <t>5.  Enter your own test % on TEST RESULTS after each test.</t>
  </si>
  <si>
    <t>HOW POINTS WORK</t>
  </si>
  <si>
    <t>Your score is compared to the CLASS AVERAGE.
Average = 5 points. Every small step above = +1. Every step below = −1.</t>
  </si>
  <si>
    <t>Well above average</t>
  </si>
  <si>
    <t>High points</t>
  </si>
  <si>
    <t>Slightly above</t>
  </si>
  <si>
    <t>6–7 points</t>
  </si>
  <si>
    <t>Exactly average</t>
  </si>
  <si>
    <t>5 points</t>
  </si>
  <si>
    <t>Slightly below</t>
  </si>
  <si>
    <t>3–4 points</t>
  </si>
  <si>
    <t>Well below</t>
  </si>
  <si>
    <t>0–1 points</t>
  </si>
  <si>
    <t>HOW PRICES WORK</t>
  </si>
  <si>
    <t>Prices move based on your 3-WEEK FORM vs the class average.
Cheap players rise faster. Expensive players rise slower.</t>
  </si>
  <si>
    <t>No changes first 2 weeks</t>
  </si>
  <si>
    <t>Settling in</t>
  </si>
  <si>
    <t>Week 3 onward</t>
  </si>
  <si>
    <t>Prices move based on form</t>
  </si>
  <si>
    <t>Beating average consistently</t>
  </si>
  <si>
    <t>Price rises up to +£0.5m/week</t>
  </si>
  <si>
    <t>Below average consistently</t>
  </si>
  <si>
    <t>Price falls up to -£0.5m/week</t>
  </si>
  <si>
    <t>Bounds</t>
  </si>
  <si>
    <t>£7.0m  to  £13.0m</t>
  </si>
  <si>
    <t>SETTINGS and RULES sheets have more detail. Ask Mr C if anything is unclear.</t>
  </si>
  <si>
    <t>PICK YOUR TEAM</t>
  </si>
  <si>
    <t>Click your name to jump to your team sheet.</t>
  </si>
  <si>
    <t>Manager</t>
  </si>
  <si>
    <t>Status</t>
  </si>
  <si>
    <t>Alexa Amesimeku</t>
  </si>
  <si>
    <t>Alfie Foley</t>
  </si>
  <si>
    <t>Alyza Rai</t>
  </si>
  <si>
    <t>Ava Swinfen</t>
  </si>
  <si>
    <t>Azlan Husain</t>
  </si>
  <si>
    <t>Chinedu Chile</t>
  </si>
  <si>
    <t>Daniel Liu</t>
  </si>
  <si>
    <t>David Wu</t>
  </si>
  <si>
    <t>Edwin Mayers</t>
  </si>
  <si>
    <t>Emily Warburton</t>
  </si>
  <si>
    <t>Esme Beston</t>
  </si>
  <si>
    <t>Iona Smith</t>
  </si>
  <si>
    <t>Joe Paige</t>
  </si>
  <si>
    <t>Lia Li</t>
  </si>
  <si>
    <t>Melody Zhaeentan</t>
  </si>
  <si>
    <t>Nina De Saram</t>
  </si>
  <si>
    <t>Oscar Day-Duran</t>
  </si>
  <si>
    <t>Rebecca Seymour</t>
  </si>
  <si>
    <t>Rory Bowman</t>
  </si>
  <si>
    <t>Sophie Barker</t>
  </si>
  <si>
    <t>Xander Meijer</t>
  </si>
  <si>
    <t>TEST RESULTS</t>
  </si>
  <si>
    <t>GAMEWEEK 1  •  Test on TBC</t>
  </si>
  <si>
    <t>Student</t>
  </si>
  <si>
    <t>Test %  —  type 90, not 90%</t>
  </si>
  <si>
    <t>Enter a whole number between 0 and 100.
Do NOT type the % sign — just the number. Example: 90</t>
  </si>
  <si>
    <t>PLAYER MARKET</t>
  </si>
  <si>
    <t>Prices  •  This week's change  •  Ownership</t>
  </si>
  <si>
    <t>Player</t>
  </si>
  <si>
    <t>Price</t>
  </si>
  <si>
    <t>Change</t>
  </si>
  <si>
    <t>Ownership %</t>
  </si>
  <si>
    <t>PRICE RULES
Prices move based on 3-week form vs class average.
First 2 gameweeks: no changes.  Min £7.0m  •  Max £13.0m</t>
  </si>
  <si>
    <t>OVERALL LEADERBOARD</t>
  </si>
  <si>
    <t>All gameweeks combined  •  Sorted by points</t>
  </si>
  <si>
    <t>Rank</t>
  </si>
  <si>
    <t>Overall Points</t>
  </si>
  <si>
    <t>GAMEWEEK LEADERBOARD</t>
  </si>
  <si>
    <t>This gameweek only  •  Sorted by points</t>
  </si>
  <si>
    <t>GW Points</t>
  </si>
  <si>
    <t>RULES &amp; HOW TO PLAY</t>
  </si>
  <si>
    <t>BUDGET</t>
  </si>
  <si>
    <t>£50.0m per manager. Pick exactly 5 players.</t>
  </si>
  <si>
    <t>CAPTAIN</t>
  </si>
  <si>
    <t>Pick 1 captain using the GOLD box on your team sheet. Captain scores 2× points.</t>
  </si>
  <si>
    <t>DEADLINE</t>
  </si>
  <si>
    <t>Set on HOME each gameweek.</t>
  </si>
  <si>
    <t>TEST DATE</t>
  </si>
  <si>
    <t>RESULT ENTRY</t>
  </si>
  <si>
    <t>Each student enters their own test % on TEST RESULTS.</t>
  </si>
  <si>
    <t>POINTS</t>
  </si>
  <si>
    <t>Based on class average. Average = 5 pts. Every step above/below = ±1 pt. Step size adjusts to class spread. Capped 0–10.</t>
  </si>
  <si>
    <t>PRICE CHANGES</t>
  </si>
  <si>
    <t>Move based on 3-week form vs class average. First 2 weeks: no change. Week 3 onward: max ±£0.5m per week.</t>
  </si>
  <si>
    <t>PRICE SCALING</t>
  </si>
  <si>
    <t>Cheap players rise faster (×1.0). Mid-price ×0.75. Expensive ×0.5.</t>
  </si>
  <si>
    <t>PRICE LIMITS</t>
  </si>
  <si>
    <t>Minimum £7.0m. Maximum £13.0m.</t>
  </si>
  <si>
    <t>TRANSFERS</t>
  </si>
  <si>
    <t>Unlimited free transfers between gameweeks.</t>
  </si>
  <si>
    <t>GOLDEN RULE</t>
  </si>
  <si>
    <t>Pick 5 players + captain, enter your test score. Excel does the rest.</t>
  </si>
  <si>
    <t>SETTINGS — CONTROL PANEL</t>
  </si>
  <si>
    <t>Change the numbers below to update the whole league. Only gold cells are editable.</t>
  </si>
  <si>
    <t>GAME RULES</t>
  </si>
  <si>
    <t>Setting</t>
  </si>
  <si>
    <t>Value</t>
  </si>
  <si>
    <t>Notes</t>
  </si>
  <si>
    <t>Baseline points (at avg)</t>
  </si>
  <si>
    <t>Points for scoring exactly the class average</t>
  </si>
  <si>
    <t>Dynamic step divisor</t>
  </si>
  <si>
    <t>Class range (max−min) ÷ this = step size</t>
  </si>
  <si>
    <t>Minimum points</t>
  </si>
  <si>
    <t>Floor</t>
  </si>
  <si>
    <t>Maximum points</t>
  </si>
  <si>
    <t>Ceiling</t>
  </si>
  <si>
    <t>Max weekly price change</t>
  </si>
  <si>
    <t>Absolute cap per week (£m)</t>
  </si>
  <si>
    <t>Tier multiplier (low)</t>
  </si>
  <si>
    <t>£7.0–8.9m price band multiplier</t>
  </si>
  <si>
    <t>Tier multiplier (mid)</t>
  </si>
  <si>
    <t>£9.0–10.9m price band multiplier</t>
  </si>
  <si>
    <t>Tier multiplier (high)</t>
  </si>
  <si>
    <t>£11.0–13.0m price band multiplier</t>
  </si>
  <si>
    <t>Price change step</t>
  </si>
  <si>
    <t>Ladder increment (£m)</t>
  </si>
  <si>
    <t>Minimum price</t>
  </si>
  <si>
    <t>Floor (£m)</t>
  </si>
  <si>
    <t>Maximum price</t>
  </si>
  <si>
    <t>Ceiling (£m)</t>
  </si>
  <si>
    <t>Price changes start at week</t>
  </si>
  <si>
    <t>First week that price changes apply</t>
  </si>
  <si>
    <t>PLAYER PRICES</t>
  </si>
  <si>
    <t>Base</t>
  </si>
  <si>
    <t>Cumulative</t>
  </si>
  <si>
    <t>Override</t>
  </si>
  <si>
    <t>Final</t>
  </si>
  <si>
    <t>WEEKLY PRICE LOG (auto-written by advance script)</t>
  </si>
  <si>
    <t>GW1</t>
  </si>
  <si>
    <t>GW2</t>
  </si>
  <si>
    <t>GW3</t>
  </si>
  <si>
    <t>GW4</t>
  </si>
  <si>
    <t>GW5</t>
  </si>
  <si>
    <t>GW6</t>
  </si>
  <si>
    <t>GW7</t>
  </si>
  <si>
    <t>GW8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</si>
  <si>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</si>
  <si>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</si>
  <si>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</si>
  <si>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</si>
  <si>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</si>
  <si>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</si>
  <si>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</si>
  <si>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</si>
  <si>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</si>
  <si>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</si>
  <si>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</si>
  <si>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</si>
  <si>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P1</t>
  </si>
  <si>
    <t>P2</t>
  </si>
  <si>
    <t>P3</t>
  </si>
  <si>
    <t>P4</t>
  </si>
  <si>
    <t>P5</t>
  </si>
  <si>
    <t>Captain</t>
  </si>
  <si>
    <t>Current</t>
  </si>
  <si>
    <t>Pts</t>
  </si>
  <si>
    <t>Team Value</t>
  </si>
  <si>
    <t>Budget Left</t>
  </si>
  <si>
    <t>GW Score</t>
  </si>
  <si>
    <t>ALEXA AMESIMEKU'S TEAM</t>
  </si>
  <si>
    <t>← Back to PICK YOUR TEAM</t>
  </si>
  <si>
    <t>PICK YOUR CAPTAIN  (scores 2× points)</t>
  </si>
  <si>
    <t>Step 1: Pick 5 players.  Step 2: Choose your captain in the GOLD box above.</t>
  </si>
  <si>
    <t>SQUAD</t>
  </si>
  <si>
    <t>Slot</t>
  </si>
  <si>
    <t>TEAM SUMMARY</t>
  </si>
  <si>
    <t>Team Status</t>
  </si>
  <si>
    <t>INPUT CELLS ARE GOLD.
Only the captain cell (C5) and the 5 player cells (C10:C14) should be edited.
Do NOT type 'CAPTAIN' anywhere in the squad.</t>
  </si>
  <si>
    <t>ALFIE FOLEY'S TEAM</t>
  </si>
  <si>
    <t>ALYZA RAI'S TEAM</t>
  </si>
  <si>
    <t>AVA SWINFEN'S TEAM</t>
  </si>
  <si>
    <t>AZLAN HUSAIN'S TEAM</t>
  </si>
  <si>
    <t>CHINEDU CHILE'S TEAM</t>
  </si>
  <si>
    <t>DANIEL LIU'S TEAM</t>
  </si>
  <si>
    <t>DAVID WU'S TEAM</t>
  </si>
  <si>
    <t>EDWIN MAYERS'S TEAM</t>
  </si>
  <si>
    <t>EMILY WARBURTON'S TEAM</t>
  </si>
  <si>
    <t>ESME BESTON'S TEAM</t>
  </si>
  <si>
    <t>IONA SMITH'S TEAM</t>
  </si>
  <si>
    <t>JOE PAIGE'S TEAM</t>
  </si>
  <si>
    <t>LIA LI'S TEAM</t>
  </si>
  <si>
    <t>MELODY ZHAEENTAN'S TEAM</t>
  </si>
  <si>
    <t>NINA DE SARAM'S TEAM</t>
  </si>
  <si>
    <t>OSCAR DAY-DURAN'S TEAM</t>
  </si>
  <si>
    <t>REBECCA SEYMOUR'S TEAM</t>
  </si>
  <si>
    <t>RORY BOWMAN'S TEAM</t>
  </si>
  <si>
    <t>SOPHIE BARKER'S TEAM</t>
  </si>
  <si>
    <t>XANDER MEIJER'S TEAM</t>
  </si>
  <si>
    <t>Tiebreak</t>
  </si>
  <si>
    <t xml:space="preserve">  GAMEWEEK 1: Biology and English  </t>
  </si>
  <si>
    <t xml:space="preserve"> GAMEWEEK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</si>
</sst>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0.0&quot;m&quot;"/>
    <numFmt numFmtId="165" formatCode="\+\£0.0&quot;m&quot;;\-\£0.0&quot;m&quot;;\—"/>
    <numFmt numFmtId="166" formatCode="0&quot;%&quot;"/>
    <numFmt numFmtId="167" formatCode="&quot;▲ +£&quot;0.0&quot;m&quot;;&quot;▼ -£&quot;0.0&quot;m&quot;;&quot;— £0.0m&quot;"/>
  </numFmts>
  <fonts count="18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i/>
      <sz val="12"/>
      <color rgb="FF6B7280"/>
      <name val="Calibri"/>
    </font>
    <font>
      <b/>
      <sz val="13"/>
      <color rgb="FFFFFFFF"/>
      <name val="Calibri"/>
    </font>
    <font>
      <b/>
      <sz val="12"/>
      <color rgb="FFFFFFFF"/>
      <name val="Calibri"/>
    </font>
    <font>
      <b/>
      <sz val="12"/>
      <color rgb="FF172033"/>
      <name val="Calibri"/>
    </font>
    <font>
      <b/>
      <sz val="12"/>
      <color rgb="FF0B1F3A"/>
      <name val="Calibri"/>
    </font>
    <font>
      <i/>
      <sz val="11"/>
      <color rgb="FF6B7280"/>
      <name val="Calibri"/>
    </font>
    <font>
      <sz val="12"/>
      <color rgb="FF172033"/>
      <name val="Calibri"/>
    </font>
    <font>
      <sz val="12"/>
      <color rgb="FF6B7280"/>
      <name val="Calibri"/>
    </font>
    <font>
      <b/>
      <sz val="16"/>
      <color rgb="FF1565C0"/>
      <name val="Calibri"/>
    </font>
    <font>
      <b/>
      <sz val="13"/>
      <color rgb="FF172033"/>
      <name val="Calibri"/>
    </font>
    <font>
      <b/>
      <sz val="12"/>
      <color rgb="FF6B7280"/>
      <name val="Calibri"/>
    </font>
    <font>
      <b/>
      <sz val="14"/>
      <color rgb="FF0B1F3A"/>
      <name val="Calibri"/>
    </font>
    <font>
      <b/>
      <u/>
      <sz val="12"/>
      <color rgb="FF1565C0"/>
      <name val="Calibri"/>
    </font>
    <font>
      <b/>
      <sz val="12"/>
      <color rgb="FF1565C0"/>
      <name val="Calibri"/>
    </font>
    <font>
      <b/>
      <sz val="13"/>
      <color rgb="FF0B1F3A"/>
      <name val="Calibri"/>
    </font>
    <font>
      <b/>
      <sz val="14"/>
      <color rgb="FF92400E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565C0"/>
      </patternFill>
    </fill>
    <fill>
      <patternFill patternType="solid">
        <fgColor rgb="FFEAF2FF"/>
      </patternFill>
    </fill>
    <fill>
      <patternFill patternType="solid">
        <fgColor rgb="FFFEF3C7"/>
      </patternFill>
    </fill>
    <fill>
      <patternFill patternType="solid">
        <fgColor rgb="FFF5F9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565C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2" fillId="0" borderId="0" xfId="0" applyFont="1" applyAlignment="1">
      <alignment horizontal="right" vertical="center"/>
    </xf>
    <xf numFmtId="0" fontId="13" fillId="5" borderId="2" xfId="0" applyFont="1" applyFill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 indent="1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166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center" vertical="center"/>
    </xf>
    <xf numFmtId="167" fontId="5" fillId="7" borderId="2" xfId="0" applyNumberFormat="1" applyFont="1" applyFill="1" applyBorder="1" applyAlignment="1">
      <alignment horizontal="center" vertical="center"/>
    </xf>
    <xf numFmtId="9" fontId="8" fillId="7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>
      <alignment horizontal="left" vertical="center"/>
    </xf>
    <xf numFmtId="164" fontId="8" fillId="7" borderId="2" xfId="0" applyNumberFormat="1" applyFont="1" applyFill="1" applyBorder="1" applyAlignment="1">
      <alignment horizontal="center" vertical="center"/>
    </xf>
    <xf numFmtId="165" fontId="9" fillId="7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 applyProtection="1">
      <alignment horizontal="center" vertical="center"/>
      <protection locked="0"/>
    </xf>
    <xf numFmtId="164" fontId="5" fillId="4" borderId="2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5" fontId="9" fillId="6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 indent="1"/>
    </xf>
    <xf numFmtId="164" fontId="5" fillId="7" borderId="2" xfId="0" applyNumberFormat="1" applyFont="1" applyFill="1" applyBorder="1" applyAlignment="1">
      <alignment horizontal="left" vertical="center"/>
    </xf>
    <xf numFmtId="1" fontId="5" fillId="7" borderId="2" xfId="0" applyNumberFormat="1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0" borderId="0" xfId="0"/>
    <xf numFmtId="0" fontId="8" fillId="6" borderId="2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8" fillId="6" borderId="2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8" fillId="5" borderId="2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indent="1"/>
    </xf>
    <xf numFmtId="0" fontId="8" fillId="4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5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51"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9A3412"/>
      </font>
      <fill>
        <patternFill patternType="solid">
          <fgColor rgb="FFFED7AA"/>
        </patternFill>
      </fill>
    </dxf>
    <dxf>
      <font>
        <b/>
        <color rgb="FF374151"/>
      </font>
      <fill>
        <patternFill patternType="solid">
          <fgColor rgb="FFE5E7EB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A3412"/>
      </font>
      <fill>
        <patternFill patternType="solid">
          <fgColor rgb="FFFED7AA"/>
        </patternFill>
      </fill>
    </dxf>
    <dxf>
      <font>
        <b/>
        <color rgb="FF374151"/>
      </font>
      <fill>
        <patternFill patternType="solid">
          <fgColor rgb="FFE5E7EB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6B7280"/>
      </font>
      <fill>
        <patternFill patternType="solid">
          <fgColor rgb="FFF3F4F6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B1:G36"/>
  <sheetViews>
    <sheetView showGridLines="0" topLeftCell="A15" zoomScale="90" workbookViewId="0">
      <selection activeCell="S9" sqref="S9"/>
    </sheetView>
  </sheetViews>
  <sheetFormatPr defaultRowHeight="15" x14ac:dyDescent="0.25"/>
  <cols>
    <col min="1" max="1" width="4" customWidth="1"/>
    <col min="2" max="2" width="28" customWidth="1"/>
    <col min="3" max="7" width="26" customWidth="1"/>
    <col min="8" max="8" width="4" customWidth="1"/>
  </cols>
  <sheetData>
    <row r="1" spans="2:7" ht="51.95" customHeight="1" x14ac:dyDescent="0.25">
      <c r="B1" s="42" t="s">
        <v>0</v>
      </c>
      <c r="C1" s="38"/>
      <c r="D1" s="38"/>
      <c r="E1" s="38"/>
      <c r="F1" s="38"/>
      <c r="G1" s="38"/>
    </row>
    <row r="2" spans="2:7" ht="32.1" customHeight="1" x14ac:dyDescent="0.25">
      <c r="B2" s="37" t="s">
        <v>1</v>
      </c>
      <c r="C2" s="38"/>
      <c r="D2" s="38"/>
      <c r="E2" s="38"/>
      <c r="F2" s="38"/>
      <c r="G2" s="38"/>
    </row>
    <row r="3" spans="2:7" ht="12" customHeight="1" x14ac:dyDescent="0.25"/>
    <row r="4" spans="2:7" ht="33.950000000000003" customHeight="1" x14ac:dyDescent="0.25">
      <c r="B4" s="45" t="s">
        <v>197</v>
      </c>
      <c r="C4" s="38"/>
      <c r="D4" s="38"/>
      <c r="E4" s="38"/>
      <c r="F4" s="38"/>
      <c r="G4" s="38"/>
    </row>
    <row r="5" spans="2:7" ht="33.950000000000003" customHeight="1" x14ac:dyDescent="0.25">
      <c r="B5" s="45" t="s">
        <v>198</v>
      </c>
      <c r="C5" s="38"/>
      <c r="D5" s="38"/>
      <c r="E5" s="38"/>
      <c r="F5" s="38"/>
      <c r="G5" s="38"/>
    </row>
    <row r="6" spans="2:7" ht="12" customHeight="1" x14ac:dyDescent="0.25"/>
    <row r="7" spans="2:7" ht="30" customHeight="1" x14ac:dyDescent="0.25">
      <c r="B7" s="1" t="s">
        <v>2</v>
      </c>
      <c r="C7" s="2">
        <v>1</v>
      </c>
    </row>
    <row r="8" spans="2:7" ht="12" customHeight="1" x14ac:dyDescent="0.25"/>
    <row r="9" spans="2:7" ht="32.1" customHeight="1" x14ac:dyDescent="0.25">
      <c r="B9" s="40" t="s">
        <v>3</v>
      </c>
      <c r="C9" s="38"/>
      <c r="D9" s="38"/>
      <c r="E9" s="38"/>
      <c r="F9" s="38"/>
      <c r="G9" s="38"/>
    </row>
    <row r="10" spans="2:7" ht="30" customHeight="1" x14ac:dyDescent="0.25">
      <c r="B10" s="39" t="s">
        <v>4</v>
      </c>
      <c r="C10" s="38"/>
      <c r="D10" s="38"/>
      <c r="E10" s="38"/>
      <c r="F10" s="38"/>
      <c r="G10" s="38"/>
    </row>
    <row r="11" spans="2:7" ht="30" customHeight="1" x14ac:dyDescent="0.25">
      <c r="B11" s="39" t="s">
        <v>5</v>
      </c>
      <c r="C11" s="38"/>
      <c r="D11" s="38"/>
      <c r="E11" s="38"/>
      <c r="F11" s="38"/>
      <c r="G11" s="38"/>
    </row>
    <row r="12" spans="2:7" ht="30" customHeight="1" x14ac:dyDescent="0.25">
      <c r="B12" s="39" t="s">
        <v>6</v>
      </c>
      <c r="C12" s="38"/>
      <c r="D12" s="38"/>
      <c r="E12" s="38"/>
      <c r="F12" s="38"/>
      <c r="G12" s="38"/>
    </row>
    <row r="13" spans="2:7" ht="30" customHeight="1" x14ac:dyDescent="0.25">
      <c r="B13" s="39" t="s">
        <v>7</v>
      </c>
      <c r="C13" s="38"/>
      <c r="D13" s="38"/>
      <c r="E13" s="38"/>
      <c r="F13" s="38"/>
      <c r="G13" s="38"/>
    </row>
    <row r="14" spans="2:7" ht="30" customHeight="1" x14ac:dyDescent="0.25">
      <c r="B14" s="39" t="s">
        <v>8</v>
      </c>
      <c r="C14" s="38"/>
      <c r="D14" s="38"/>
      <c r="E14" s="38"/>
      <c r="F14" s="38"/>
      <c r="G14" s="38"/>
    </row>
    <row r="16" spans="2:7" ht="12" customHeight="1" x14ac:dyDescent="0.25"/>
    <row r="17" spans="2:7" ht="32.1" customHeight="1" x14ac:dyDescent="0.25">
      <c r="B17" s="40" t="s">
        <v>9</v>
      </c>
      <c r="C17" s="38"/>
      <c r="D17" s="38"/>
      <c r="E17" s="38"/>
      <c r="F17" s="38"/>
      <c r="G17" s="38"/>
    </row>
    <row r="18" spans="2:7" ht="24" customHeight="1" x14ac:dyDescent="0.25">
      <c r="B18" s="44" t="s">
        <v>10</v>
      </c>
      <c r="C18" s="38"/>
      <c r="D18" s="38"/>
      <c r="E18" s="38"/>
      <c r="F18" s="38"/>
      <c r="G18" s="38"/>
    </row>
    <row r="19" spans="2:7" ht="24" customHeight="1" x14ac:dyDescent="0.25">
      <c r="B19" s="38"/>
      <c r="C19" s="38"/>
      <c r="D19" s="38"/>
      <c r="E19" s="38"/>
      <c r="F19" s="38"/>
      <c r="G19" s="38"/>
    </row>
    <row r="20" spans="2:7" ht="26.1" customHeight="1" x14ac:dyDescent="0.25">
      <c r="B20" s="43" t="s">
        <v>11</v>
      </c>
      <c r="C20" s="38"/>
      <c r="D20" s="41" t="s">
        <v>12</v>
      </c>
      <c r="E20" s="38"/>
      <c r="F20" s="38"/>
      <c r="G20" s="38"/>
    </row>
    <row r="21" spans="2:7" ht="26.1" customHeight="1" x14ac:dyDescent="0.25">
      <c r="B21" s="43" t="s">
        <v>13</v>
      </c>
      <c r="C21" s="38"/>
      <c r="D21" s="41" t="s">
        <v>14</v>
      </c>
      <c r="E21" s="38"/>
      <c r="F21" s="38"/>
      <c r="G21" s="38"/>
    </row>
    <row r="22" spans="2:7" ht="26.1" customHeight="1" x14ac:dyDescent="0.25">
      <c r="B22" s="43" t="s">
        <v>15</v>
      </c>
      <c r="C22" s="38"/>
      <c r="D22" s="41" t="s">
        <v>16</v>
      </c>
      <c r="E22" s="38"/>
      <c r="F22" s="38"/>
      <c r="G22" s="38"/>
    </row>
    <row r="23" spans="2:7" ht="26.1" customHeight="1" x14ac:dyDescent="0.25">
      <c r="B23" s="43" t="s">
        <v>17</v>
      </c>
      <c r="C23" s="38"/>
      <c r="D23" s="41" t="s">
        <v>18</v>
      </c>
      <c r="E23" s="38"/>
      <c r="F23" s="38"/>
      <c r="G23" s="38"/>
    </row>
    <row r="24" spans="2:7" ht="26.1" customHeight="1" x14ac:dyDescent="0.25">
      <c r="B24" s="43" t="s">
        <v>19</v>
      </c>
      <c r="C24" s="38"/>
      <c r="D24" s="41" t="s">
        <v>20</v>
      </c>
      <c r="E24" s="38"/>
      <c r="F24" s="38"/>
      <c r="G24" s="38"/>
    </row>
    <row r="26" spans="2:7" ht="12" customHeight="1" x14ac:dyDescent="0.25"/>
    <row r="27" spans="2:7" ht="32.1" customHeight="1" x14ac:dyDescent="0.25">
      <c r="B27" s="40" t="s">
        <v>21</v>
      </c>
      <c r="C27" s="38"/>
      <c r="D27" s="38"/>
      <c r="E27" s="38"/>
      <c r="F27" s="38"/>
      <c r="G27" s="38"/>
    </row>
    <row r="28" spans="2:7" ht="24" customHeight="1" x14ac:dyDescent="0.25">
      <c r="B28" s="44" t="s">
        <v>22</v>
      </c>
      <c r="C28" s="38"/>
      <c r="D28" s="38"/>
      <c r="E28" s="38"/>
      <c r="F28" s="38"/>
      <c r="G28" s="38"/>
    </row>
    <row r="29" spans="2:7" ht="24" customHeight="1" x14ac:dyDescent="0.25">
      <c r="B29" s="38"/>
      <c r="C29" s="38"/>
      <c r="D29" s="38"/>
      <c r="E29" s="38"/>
      <c r="F29" s="38"/>
      <c r="G29" s="38"/>
    </row>
    <row r="30" spans="2:7" ht="26.1" customHeight="1" x14ac:dyDescent="0.25">
      <c r="B30" s="43" t="s">
        <v>23</v>
      </c>
      <c r="C30" s="38"/>
      <c r="D30" s="38"/>
      <c r="E30" s="41" t="s">
        <v>24</v>
      </c>
      <c r="F30" s="38"/>
      <c r="G30" s="38"/>
    </row>
    <row r="31" spans="2:7" ht="26.1" customHeight="1" x14ac:dyDescent="0.25">
      <c r="B31" s="43" t="s">
        <v>25</v>
      </c>
      <c r="C31" s="38"/>
      <c r="D31" s="38"/>
      <c r="E31" s="41" t="s">
        <v>26</v>
      </c>
      <c r="F31" s="38"/>
      <c r="G31" s="38"/>
    </row>
    <row r="32" spans="2:7" ht="26.1" customHeight="1" x14ac:dyDescent="0.25">
      <c r="B32" s="43" t="s">
        <v>27</v>
      </c>
      <c r="C32" s="38"/>
      <c r="D32" s="38"/>
      <c r="E32" s="41" t="s">
        <v>28</v>
      </c>
      <c r="F32" s="38"/>
      <c r="G32" s="38"/>
    </row>
    <row r="33" spans="2:7" ht="26.1" customHeight="1" x14ac:dyDescent="0.25">
      <c r="B33" s="43" t="s">
        <v>29</v>
      </c>
      <c r="C33" s="38"/>
      <c r="D33" s="38"/>
      <c r="E33" s="41" t="s">
        <v>30</v>
      </c>
      <c r="F33" s="38"/>
      <c r="G33" s="38"/>
    </row>
    <row r="34" spans="2:7" ht="26.1" customHeight="1" x14ac:dyDescent="0.25">
      <c r="B34" s="43" t="s">
        <v>31</v>
      </c>
      <c r="C34" s="38"/>
      <c r="D34" s="38"/>
      <c r="E34" s="41" t="s">
        <v>32</v>
      </c>
      <c r="F34" s="38"/>
      <c r="G34" s="38"/>
    </row>
    <row r="36" spans="2:7" ht="30" customHeight="1" x14ac:dyDescent="0.25">
      <c r="B36" s="46" t="s">
        <v>33</v>
      </c>
      <c r="C36" s="38"/>
      <c r="D36" s="38"/>
      <c r="E36" s="38"/>
      <c r="F36" s="38"/>
      <c r="G36" s="38"/>
    </row>
  </sheetData>
  <sheetProtection formatCells="0" formatColumns="0" formatRows="0"/>
  <mergeCells count="35">
    <mergeCell ref="B36:G36"/>
    <mergeCell ref="B32:D32"/>
    <mergeCell ref="D21:G21"/>
    <mergeCell ref="B4:G4"/>
    <mergeCell ref="B24:C24"/>
    <mergeCell ref="E33:G33"/>
    <mergeCell ref="B28:G29"/>
    <mergeCell ref="B31:D31"/>
    <mergeCell ref="B20:C20"/>
    <mergeCell ref="B27:G27"/>
    <mergeCell ref="B12:G12"/>
    <mergeCell ref="B11:G11"/>
    <mergeCell ref="E34:G34"/>
    <mergeCell ref="B13:G13"/>
    <mergeCell ref="E30:G30"/>
    <mergeCell ref="B34:D34"/>
    <mergeCell ref="D23:G23"/>
    <mergeCell ref="B21:C21"/>
    <mergeCell ref="D20:G20"/>
    <mergeCell ref="B23:C23"/>
    <mergeCell ref="B30:D30"/>
    <mergeCell ref="B18:G19"/>
    <mergeCell ref="D22:G22"/>
    <mergeCell ref="E32:G32"/>
    <mergeCell ref="B33:D33"/>
    <mergeCell ref="B2:G2"/>
    <mergeCell ref="B14:G14"/>
    <mergeCell ref="B17:G17"/>
    <mergeCell ref="E31:G31"/>
    <mergeCell ref="B1:G1"/>
    <mergeCell ref="D24:G24"/>
    <mergeCell ref="B22:C22"/>
    <mergeCell ref="B10:G10"/>
    <mergeCell ref="B9:G9"/>
    <mergeCell ref="B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4ED8"/>
  </sheetPr>
  <dimension ref="B1:C25"/>
  <sheetViews>
    <sheetView showGridLines="0" topLeftCell="A5" zoomScale="90" workbookViewId="0">
      <selection activeCell="F8" sqref="F8"/>
    </sheetView>
  </sheetViews>
  <sheetFormatPr defaultRowHeight="15" x14ac:dyDescent="0.25"/>
  <cols>
    <col min="1" max="1" width="6" customWidth="1"/>
    <col min="2" max="2" width="32" customWidth="1"/>
    <col min="3" max="3" width="26" customWidth="1"/>
  </cols>
  <sheetData>
    <row r="1" spans="2:3" ht="51.95" customHeight="1" x14ac:dyDescent="0.25">
      <c r="B1" s="42" t="s">
        <v>34</v>
      </c>
      <c r="C1" s="38"/>
    </row>
    <row r="2" spans="2:3" ht="30" customHeight="1" x14ac:dyDescent="0.25">
      <c r="B2" s="47" t="s">
        <v>35</v>
      </c>
      <c r="C2" s="38"/>
    </row>
    <row r="3" spans="2:3" ht="12" customHeight="1" x14ac:dyDescent="0.25"/>
    <row r="4" spans="2:3" ht="32.1" customHeight="1" x14ac:dyDescent="0.25">
      <c r="B4" s="4" t="s">
        <v>36</v>
      </c>
      <c r="C4" s="4" t="str">
        <f>"Status: " &amp; COUNTIF(C6:C26,"VALID TEAM") &amp; "/" &amp; COUNTA(B6:B26)</f>
        <v>Status: 12/20</v>
      </c>
    </row>
    <row r="5" spans="2:3" ht="30" customHeight="1" x14ac:dyDescent="0.25">
      <c r="B5" s="5" t="s">
        <v>38</v>
      </c>
      <c r="C5" s="6" t="str">
        <f>CALCULATIONS!U2</f>
        <v>LESS THAN 5 PLAYERS</v>
      </c>
    </row>
    <row r="6" spans="2:3" ht="30" customHeight="1" x14ac:dyDescent="0.25">
      <c r="B6" s="5" t="s">
        <v>39</v>
      </c>
      <c r="C6" s="6" t="str">
        <f>CALCULATIONS!U3</f>
        <v>VALID TEAM</v>
      </c>
    </row>
    <row r="7" spans="2:3" ht="30" customHeight="1" x14ac:dyDescent="0.25">
      <c r="B7" s="5" t="s">
        <v>40</v>
      </c>
      <c r="C7" s="6" t="str">
        <f>CALCULATIONS!U4</f>
        <v>LESS THAN 5 PLAYERS</v>
      </c>
    </row>
    <row r="8" spans="2:3" ht="30" customHeight="1" x14ac:dyDescent="0.25">
      <c r="B8" s="5" t="s">
        <v>41</v>
      </c>
      <c r="C8" s="6" t="str">
        <f>CALCULATIONS!U5</f>
        <v>VALID TEAM</v>
      </c>
    </row>
    <row r="9" spans="2:3" ht="30" customHeight="1" x14ac:dyDescent="0.25">
      <c r="B9" s="5" t="s">
        <v>42</v>
      </c>
      <c r="C9" s="6" t="str">
        <f>CALCULATIONS!U6</f>
        <v>VALID TEAM</v>
      </c>
    </row>
    <row r="10" spans="2:3" ht="30" customHeight="1" x14ac:dyDescent="0.25">
      <c r="B10" s="5" t="s">
        <v>43</v>
      </c>
      <c r="C10" s="6" t="str">
        <f>CALCULATIONS!U7</f>
        <v>VALID TEAM</v>
      </c>
    </row>
    <row r="11" spans="2:3" ht="30" customHeight="1" x14ac:dyDescent="0.25">
      <c r="B11" s="5" t="s">
        <v>44</v>
      </c>
      <c r="C11" s="6" t="str">
        <f>CALCULATIONS!U8</f>
        <v>VALID TEAM</v>
      </c>
    </row>
    <row r="12" spans="2:3" ht="30" customHeight="1" x14ac:dyDescent="0.25">
      <c r="B12" s="5" t="s">
        <v>45</v>
      </c>
      <c r="C12" s="6" t="str">
        <f>CALCULATIONS!U9</f>
        <v>VALID TEAM</v>
      </c>
    </row>
    <row r="13" spans="2:3" ht="30" customHeight="1" x14ac:dyDescent="0.25">
      <c r="B13" s="5" t="s">
        <v>46</v>
      </c>
      <c r="C13" s="6" t="str">
        <f>CALCULATIONS!U10</f>
        <v>VALID TEAM</v>
      </c>
    </row>
    <row r="14" spans="2:3" ht="30" customHeight="1" x14ac:dyDescent="0.25">
      <c r="B14" s="5" t="s">
        <v>47</v>
      </c>
      <c r="C14" s="6" t="str">
        <f>CALCULATIONS!U11</f>
        <v>LESS THAN 5 PLAYERS</v>
      </c>
    </row>
    <row r="15" spans="2:3" ht="30" customHeight="1" x14ac:dyDescent="0.25">
      <c r="B15" s="5" t="s">
        <v>48</v>
      </c>
      <c r="C15" s="6" t="str">
        <f>CALCULATIONS!U12</f>
        <v>LESS THAN 5 PLAYERS</v>
      </c>
    </row>
    <row r="16" spans="2:3" ht="30" customHeight="1" x14ac:dyDescent="0.25">
      <c r="B16" s="5" t="s">
        <v>49</v>
      </c>
      <c r="C16" s="6" t="str">
        <f>CALCULATIONS!U13</f>
        <v>LESS THAN 5 PLAYERS</v>
      </c>
    </row>
    <row r="17" spans="2:3" ht="30" customHeight="1" x14ac:dyDescent="0.25">
      <c r="B17" s="5" t="s">
        <v>50</v>
      </c>
      <c r="C17" s="6" t="str">
        <f>CALCULATIONS!U14</f>
        <v>VALID TEAM</v>
      </c>
    </row>
    <row r="18" spans="2:3" ht="30" customHeight="1" x14ac:dyDescent="0.25">
      <c r="B18" s="5" t="s">
        <v>51</v>
      </c>
      <c r="C18" s="6" t="str">
        <f>CALCULATIONS!U15</f>
        <v>LESS THAN 5 PLAYERS</v>
      </c>
    </row>
    <row r="19" spans="2:3" ht="30" customHeight="1" x14ac:dyDescent="0.25">
      <c r="B19" s="5" t="s">
        <v>52</v>
      </c>
      <c r="C19" s="6" t="str">
        <f>CALCULATIONS!U16</f>
        <v>VALID TEAM</v>
      </c>
    </row>
    <row r="20" spans="2:3" ht="30" customHeight="1" x14ac:dyDescent="0.25">
      <c r="B20" s="5" t="s">
        <v>53</v>
      </c>
      <c r="C20" s="6" t="str">
        <f>CALCULATIONS!U17</f>
        <v>LESS THAN 5 PLAYERS</v>
      </c>
    </row>
    <row r="21" spans="2:3" ht="30" customHeight="1" x14ac:dyDescent="0.25">
      <c r="B21" s="5" t="s">
        <v>54</v>
      </c>
      <c r="C21" s="6" t="str">
        <f>CALCULATIONS!U18</f>
        <v>VALID TEAM</v>
      </c>
    </row>
    <row r="22" spans="2:3" ht="30" customHeight="1" x14ac:dyDescent="0.25">
      <c r="B22" s="5" t="s">
        <v>55</v>
      </c>
      <c r="C22" s="6" t="str">
        <f>CALCULATIONS!U19</f>
        <v>LESS THAN 5 PLAYERS</v>
      </c>
    </row>
    <row r="23" spans="2:3" ht="30" customHeight="1" x14ac:dyDescent="0.25">
      <c r="B23" s="5" t="s">
        <v>56</v>
      </c>
      <c r="C23" s="6" t="str">
        <f>CALCULATIONS!U20</f>
        <v>VALID TEAM</v>
      </c>
    </row>
    <row r="24" spans="2:3" ht="30" customHeight="1" x14ac:dyDescent="0.25">
      <c r="B24" s="5" t="s">
        <v>57</v>
      </c>
      <c r="C24" s="6" t="str">
        <f>CALCULATIONS!U21</f>
        <v>LESS THAN 5 PLAYERS</v>
      </c>
    </row>
    <row r="25" spans="2:3" ht="30" customHeight="1" x14ac:dyDescent="0.25">
      <c r="B25" s="5" t="s">
        <v>58</v>
      </c>
      <c r="C25" s="6" t="str">
        <f>CALCULATIONS!U22</f>
        <v>VALID TEAM</v>
      </c>
    </row>
  </sheetData>
  <sheetProtection formatCells="0" formatColumns="0" formatRows="0"/>
  <mergeCells count="2">
    <mergeCell ref="B1:C1"/>
    <mergeCell ref="B2:C2"/>
  </mergeCells>
  <hyperlinks>
    <hyperlink ref="B5" location="'Alexa Amesimeku'!A1" display="Alexa Amesimeku" xr:uid="{00000000-0004-0000-0100-000000000000}"/>
    <hyperlink ref="B6" location="'Alfie Foley'!A1" display="Alfie Foley" xr:uid="{00000000-0004-0000-0100-000001000000}"/>
    <hyperlink ref="B7" location="'Alyza Rai'!A1" display="Alyza Rai" xr:uid="{00000000-0004-0000-0100-000002000000}"/>
    <hyperlink ref="B8" location="'Ava Swinfen'!A1" display="Ava Swinfen" xr:uid="{00000000-0004-0000-0100-000003000000}"/>
    <hyperlink ref="B9" location="'Azlan Husain'!A1" display="Azlan Husain" xr:uid="{00000000-0004-0000-0100-000004000000}"/>
    <hyperlink ref="B10" location="'Chinedu Chile'!A1" display="Chinedu Chile" xr:uid="{00000000-0004-0000-0100-000005000000}"/>
    <hyperlink ref="B11" location="'Daniel Liu'!A1" display="Daniel Liu" xr:uid="{00000000-0004-0000-0100-000006000000}"/>
    <hyperlink ref="B12" location="'David Wu'!A1" display="David Wu" xr:uid="{00000000-0004-0000-0100-000007000000}"/>
    <hyperlink ref="B13" location="'Edwin Mayers'!A1" display="Edwin Mayers" xr:uid="{00000000-0004-0000-0100-000008000000}"/>
    <hyperlink ref="B14" location="'Emily Warburton'!A1" display="Emily Warburton" xr:uid="{00000000-0004-0000-0100-000009000000}"/>
    <hyperlink ref="B15" location="'Esme Beston'!A1" display="Esme Beston" xr:uid="{00000000-0004-0000-0100-00000A000000}"/>
    <hyperlink ref="B16" location="'Iona Smith'!A1" display="Iona Smith" xr:uid="{00000000-0004-0000-0100-00000B000000}"/>
    <hyperlink ref="B17" location="'Joe Paige'!A1" display="Joe Paige" xr:uid="{00000000-0004-0000-0100-00000C000000}"/>
    <hyperlink ref="B18" location="'Lia Li'!A1" display="Lia Li" xr:uid="{00000000-0004-0000-0100-00000D000000}"/>
    <hyperlink ref="B19" location="'Melody Zhaeentan'!A1" display="Melody Zhaeentan" xr:uid="{00000000-0004-0000-0100-00000E000000}"/>
    <hyperlink ref="B20" location="'Nina De Saram'!A1" display="Nina De Saram" xr:uid="{00000000-0004-0000-0100-00000F000000}"/>
    <hyperlink ref="B21" location="'Oscar Day-Duran'!A1" display="Oscar Day-Duran" xr:uid="{00000000-0004-0000-0100-000010000000}"/>
    <hyperlink ref="B22" location="'Rebecca Seymour'!A1" display="Rebecca Seymour" xr:uid="{00000000-0004-0000-0100-000011000000}"/>
    <hyperlink ref="B23" location="'Rory Bowman'!A1" display="Rory Bowman" xr:uid="{00000000-0004-0000-0100-000012000000}"/>
    <hyperlink ref="B24" location="'Sophie Barker'!A1" display="Sophie Barker" xr:uid="{00000000-0004-0000-0100-000013000000}"/>
    <hyperlink ref="B25" location="'Xander Meijer'!A1" display="Xander Meijer" xr:uid="{00000000-0004-0000-0100-00001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</sheetPr>
  <dimension ref="B1:C30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42" customWidth="1"/>
  </cols>
  <sheetData>
    <row r="1" spans="2:3" ht="51.95" customHeight="1" x14ac:dyDescent="0.25">
      <c r="B1" s="42" t="s">
        <v>59</v>
      </c>
      <c r="C1" s="38"/>
    </row>
    <row r="2" spans="2:3" ht="30" customHeight="1" x14ac:dyDescent="0.25">
      <c r="B2" s="49" t="s">
        <v>60</v>
      </c>
      <c r="C2" s="38"/>
    </row>
    <row r="3" spans="2:3" ht="12" customHeight="1" x14ac:dyDescent="0.25"/>
    <row r="4" spans="2:3" ht="32.1" customHeight="1" x14ac:dyDescent="0.25">
      <c r="B4" s="4" t="s">
        <v>61</v>
      </c>
      <c r="C4" s="4" t="s">
        <v>62</v>
      </c>
    </row>
    <row r="5" spans="2:3" ht="30" customHeight="1" x14ac:dyDescent="0.25">
      <c r="B5" s="7" t="s">
        <v>38</v>
      </c>
      <c r="C5" s="8">
        <v>73</v>
      </c>
    </row>
    <row r="6" spans="2:3" ht="30" customHeight="1" x14ac:dyDescent="0.25">
      <c r="B6" s="7" t="s">
        <v>39</v>
      </c>
      <c r="C6" s="8"/>
    </row>
    <row r="7" spans="2:3" ht="30" customHeight="1" x14ac:dyDescent="0.25">
      <c r="B7" s="7" t="s">
        <v>40</v>
      </c>
      <c r="C7" s="8">
        <v>70</v>
      </c>
    </row>
    <row r="8" spans="2:3" ht="30" customHeight="1" x14ac:dyDescent="0.25">
      <c r="B8" s="7" t="s">
        <v>41</v>
      </c>
      <c r="C8" s="8">
        <v>35</v>
      </c>
    </row>
    <row r="9" spans="2:3" ht="30" customHeight="1" x14ac:dyDescent="0.25">
      <c r="B9" s="7" t="s">
        <v>42</v>
      </c>
      <c r="C9" s="8">
        <v>50</v>
      </c>
    </row>
    <row r="10" spans="2:3" ht="30" customHeight="1" x14ac:dyDescent="0.25">
      <c r="B10" s="7" t="s">
        <v>43</v>
      </c>
      <c r="C10" s="8">
        <v>60</v>
      </c>
    </row>
    <row r="11" spans="2:3" ht="30" customHeight="1" x14ac:dyDescent="0.25">
      <c r="B11" s="7" t="s">
        <v>44</v>
      </c>
      <c r="C11" s="8"/>
    </row>
    <row r="12" spans="2:3" ht="30" customHeight="1" x14ac:dyDescent="0.25">
      <c r="B12" s="7" t="s">
        <v>45</v>
      </c>
      <c r="C12" s="8">
        <v>60</v>
      </c>
    </row>
    <row r="13" spans="2:3" ht="30" customHeight="1" x14ac:dyDescent="0.25">
      <c r="B13" s="7" t="s">
        <v>46</v>
      </c>
      <c r="C13" s="8"/>
    </row>
    <row r="14" spans="2:3" ht="30" customHeight="1" x14ac:dyDescent="0.25">
      <c r="B14" s="7" t="s">
        <v>47</v>
      </c>
      <c r="C14" s="8">
        <v>90</v>
      </c>
    </row>
    <row r="15" spans="2:3" ht="30" customHeight="1" x14ac:dyDescent="0.25">
      <c r="B15" s="7" t="s">
        <v>48</v>
      </c>
      <c r="C15" s="8">
        <v>38</v>
      </c>
    </row>
    <row r="16" spans="2:3" ht="30" customHeight="1" x14ac:dyDescent="0.25">
      <c r="B16" s="7" t="s">
        <v>49</v>
      </c>
      <c r="C16" s="8"/>
    </row>
    <row r="17" spans="2:3" ht="30" customHeight="1" x14ac:dyDescent="0.25">
      <c r="B17" s="7" t="s">
        <v>50</v>
      </c>
      <c r="C17" s="8"/>
    </row>
    <row r="18" spans="2:3" ht="30" customHeight="1" x14ac:dyDescent="0.25">
      <c r="B18" s="7" t="s">
        <v>51</v>
      </c>
      <c r="C18" s="8">
        <v>55</v>
      </c>
    </row>
    <row r="19" spans="2:3" ht="30" customHeight="1" x14ac:dyDescent="0.25">
      <c r="B19" s="7" t="s">
        <v>52</v>
      </c>
      <c r="C19" s="8">
        <v>75</v>
      </c>
    </row>
    <row r="20" spans="2:3" ht="30" customHeight="1" x14ac:dyDescent="0.25">
      <c r="B20" s="7" t="s">
        <v>53</v>
      </c>
      <c r="C20" s="8">
        <v>75</v>
      </c>
    </row>
    <row r="21" spans="2:3" ht="30" customHeight="1" x14ac:dyDescent="0.25">
      <c r="B21" s="7" t="s">
        <v>54</v>
      </c>
      <c r="C21" s="8"/>
    </row>
    <row r="22" spans="2:3" ht="30" customHeight="1" x14ac:dyDescent="0.25">
      <c r="B22" s="7" t="s">
        <v>55</v>
      </c>
      <c r="C22" s="8"/>
    </row>
    <row r="23" spans="2:3" ht="30" customHeight="1" x14ac:dyDescent="0.25">
      <c r="B23" s="7" t="s">
        <v>56</v>
      </c>
      <c r="C23" s="8">
        <v>25</v>
      </c>
    </row>
    <row r="24" spans="2:3" ht="30" customHeight="1" x14ac:dyDescent="0.25">
      <c r="B24" s="7" t="s">
        <v>57</v>
      </c>
      <c r="C24" s="8">
        <v>88</v>
      </c>
    </row>
    <row r="25" spans="2:3" ht="30" customHeight="1" x14ac:dyDescent="0.25">
      <c r="B25" s="7" t="s">
        <v>58</v>
      </c>
      <c r="C25" s="8">
        <v>30</v>
      </c>
    </row>
    <row r="28" spans="2:3" x14ac:dyDescent="0.25">
      <c r="B28" s="48" t="s">
        <v>63</v>
      </c>
      <c r="C28" s="38"/>
    </row>
    <row r="29" spans="2:3" x14ac:dyDescent="0.25">
      <c r="B29" s="38"/>
      <c r="C29" s="38"/>
    </row>
    <row r="30" spans="2:3" x14ac:dyDescent="0.25">
      <c r="B30" s="38"/>
      <c r="C30" s="38"/>
    </row>
  </sheetData>
  <mergeCells count="3">
    <mergeCell ref="B1:C1"/>
    <mergeCell ref="B28:C30"/>
    <mergeCell ref="B2:C2"/>
  </mergeCells>
  <dataValidations count="1">
    <dataValidation type="whole" allowBlank="1" showErrorMessage="1" errorTitle="Invalid percentage" error="Enter a whole number from 0 to 100." sqref="C5:C25" xr:uid="{00000000-0002-0000-0200-000000000000}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B1:E30"/>
  <sheetViews>
    <sheetView showGridLines="0" topLeftCell="A3" zoomScale="90" workbookViewId="0"/>
  </sheetViews>
  <sheetFormatPr defaultRowHeight="15" x14ac:dyDescent="0.25"/>
  <cols>
    <col min="1" max="1" width="4" customWidth="1"/>
    <col min="2" max="2" width="34" customWidth="1"/>
    <col min="3" max="4" width="14" customWidth="1"/>
    <col min="5" max="5" width="20" customWidth="1"/>
  </cols>
  <sheetData>
    <row r="1" spans="2:5" ht="51.95" customHeight="1" x14ac:dyDescent="0.25">
      <c r="B1" s="42" t="s">
        <v>64</v>
      </c>
      <c r="C1" s="38"/>
      <c r="D1" s="38"/>
      <c r="E1" s="38"/>
    </row>
    <row r="2" spans="2:5" ht="30" customHeight="1" x14ac:dyDescent="0.25">
      <c r="B2" s="47" t="s">
        <v>65</v>
      </c>
      <c r="C2" s="38"/>
      <c r="D2" s="38"/>
      <c r="E2" s="38"/>
    </row>
    <row r="3" spans="2:5" ht="12" customHeight="1" x14ac:dyDescent="0.25"/>
    <row r="4" spans="2:5" ht="32.1" customHeight="1" x14ac:dyDescent="0.25">
      <c r="B4" s="4" t="s">
        <v>66</v>
      </c>
      <c r="C4" s="4" t="s">
        <v>67</v>
      </c>
      <c r="D4" s="4" t="s">
        <v>68</v>
      </c>
      <c r="E4" s="4" t="s">
        <v>69</v>
      </c>
    </row>
    <row r="5" spans="2:5" ht="27.95" customHeight="1" x14ac:dyDescent="0.25">
      <c r="B5" s="7" t="str">
        <f>CALCULATIONS!A2</f>
        <v>Lia Li</v>
      </c>
      <c r="C5" s="10">
        <f>CALCULATIONS!C2</f>
        <v>13</v>
      </c>
      <c r="D5" s="11">
        <f>IF(SETTINGS!C29=0,0,CALCULATIONS!C2-CALCULATIONS!B2)</f>
        <v>0</v>
      </c>
      <c r="E5" s="12">
        <f>COUNTIF(CALCULATIONS!$L$2:$P$22,CALCULATIONS!A2)/COUNTA(CALCULATIONS!$K$2:$K$22)</f>
        <v>0.23809523809523808</v>
      </c>
    </row>
    <row r="6" spans="2:5" ht="27.95" customHeight="1" x14ac:dyDescent="0.25">
      <c r="B6" s="3" t="str">
        <f>CALCULATIONS!A3</f>
        <v>Sophie Barker</v>
      </c>
      <c r="C6" s="13">
        <f>CALCULATIONS!C3</f>
        <v>13</v>
      </c>
      <c r="D6" s="14">
        <f>IF(SETTINGS!C29=0,0,CALCULATIONS!C3-CALCULATIONS!B3)</f>
        <v>0</v>
      </c>
      <c r="E6" s="15">
        <f>COUNTIF(CALCULATIONS!$L$2:$P$22,CALCULATIONS!A3)/COUNTA(CALCULATIONS!$K$2:$K$22)</f>
        <v>9.5238095238095233E-2</v>
      </c>
    </row>
    <row r="7" spans="2:5" ht="27.95" customHeight="1" x14ac:dyDescent="0.25">
      <c r="B7" s="7" t="str">
        <f>CALCULATIONS!A4</f>
        <v>Chinedu Chile</v>
      </c>
      <c r="C7" s="10">
        <f>CALCULATIONS!C4</f>
        <v>11</v>
      </c>
      <c r="D7" s="11">
        <f>IF(SETTINGS!C29=0,0,CALCULATIONS!C4-CALCULATIONS!B4)</f>
        <v>0</v>
      </c>
      <c r="E7" s="12">
        <f>COUNTIF(CALCULATIONS!$L$2:$P$22,CALCULATIONS!A4)/COUNTA(CALCULATIONS!$K$2:$K$22)</f>
        <v>0.33333333333333331</v>
      </c>
    </row>
    <row r="8" spans="2:5" ht="27.95" customHeight="1" x14ac:dyDescent="0.25">
      <c r="B8" s="3" t="str">
        <f>CALCULATIONS!A5</f>
        <v>Emily Warburton</v>
      </c>
      <c r="C8" s="13">
        <f>CALCULATIONS!C5</f>
        <v>11</v>
      </c>
      <c r="D8" s="14">
        <f>IF(SETTINGS!C29=0,0,CALCULATIONS!C5-CALCULATIONS!B5)</f>
        <v>0</v>
      </c>
      <c r="E8" s="15">
        <f>COUNTIF(CALCULATIONS!$L$2:$P$22,CALCULATIONS!A5)/COUNTA(CALCULATIONS!$K$2:$K$22)</f>
        <v>0.14285714285714285</v>
      </c>
    </row>
    <row r="9" spans="2:5" ht="27.95" customHeight="1" x14ac:dyDescent="0.25">
      <c r="B9" s="7" t="str">
        <f>CALCULATIONS!A6</f>
        <v>Alyza Rai</v>
      </c>
      <c r="C9" s="10">
        <f>CALCULATIONS!C6</f>
        <v>10.5</v>
      </c>
      <c r="D9" s="11">
        <f>IF(SETTINGS!C29=0,0,CALCULATIONS!C6-CALCULATIONS!B6)</f>
        <v>0</v>
      </c>
      <c r="E9" s="12">
        <f>COUNTIF(CALCULATIONS!$L$2:$P$22,CALCULATIONS!A6)/COUNTA(CALCULATIONS!$K$2:$K$22)</f>
        <v>0.14285714285714285</v>
      </c>
    </row>
    <row r="10" spans="2:5" ht="27.95" customHeight="1" x14ac:dyDescent="0.25">
      <c r="B10" s="3" t="str">
        <f>CALCULATIONS!A7</f>
        <v>David Wu</v>
      </c>
      <c r="C10" s="13">
        <f>CALCULATIONS!C7</f>
        <v>10.5</v>
      </c>
      <c r="D10" s="14">
        <f>IF(SETTINGS!C29=0,0,CALCULATIONS!C7-CALCULATIONS!B7)</f>
        <v>0</v>
      </c>
      <c r="E10" s="15">
        <f>COUNTIF(CALCULATIONS!$L$2:$P$22,CALCULATIONS!A7)/COUNTA(CALCULATIONS!$K$2:$K$22)</f>
        <v>0.33333333333333331</v>
      </c>
    </row>
    <row r="11" spans="2:5" ht="27.95" customHeight="1" x14ac:dyDescent="0.25">
      <c r="B11" s="7" t="str">
        <f>CALCULATIONS!A8</f>
        <v>Joe Paige</v>
      </c>
      <c r="C11" s="10">
        <f>CALCULATIONS!C8</f>
        <v>10.5</v>
      </c>
      <c r="D11" s="11">
        <f>IF(SETTINGS!C29=0,0,CALCULATIONS!C8-CALCULATIONS!B8)</f>
        <v>0</v>
      </c>
      <c r="E11" s="12">
        <f>COUNTIF(CALCULATIONS!$L$2:$P$22,CALCULATIONS!A8)/COUNTA(CALCULATIONS!$K$2:$K$22)</f>
        <v>0.2857142857142857</v>
      </c>
    </row>
    <row r="12" spans="2:5" ht="27.95" customHeight="1" x14ac:dyDescent="0.25">
      <c r="B12" s="3" t="str">
        <f>CALCULATIONS!A9</f>
        <v>Azlan Husain</v>
      </c>
      <c r="C12" s="13">
        <f>CALCULATIONS!C9</f>
        <v>10</v>
      </c>
      <c r="D12" s="14">
        <f>IF(SETTINGS!C29=0,0,CALCULATIONS!C9-CALCULATIONS!B9)</f>
        <v>0</v>
      </c>
      <c r="E12" s="15">
        <f>COUNTIF(CALCULATIONS!$L$2:$P$22,CALCULATIONS!A9)/COUNTA(CALCULATIONS!$K$2:$K$22)</f>
        <v>9.5238095238095233E-2</v>
      </c>
    </row>
    <row r="13" spans="2:5" ht="27.95" customHeight="1" x14ac:dyDescent="0.25">
      <c r="B13" s="7" t="str">
        <f>CALCULATIONS!A10</f>
        <v>Nina De Saram</v>
      </c>
      <c r="C13" s="10">
        <f>CALCULATIONS!C10</f>
        <v>10</v>
      </c>
      <c r="D13" s="11">
        <f>IF(SETTINGS!C29=0,0,CALCULATIONS!C10-CALCULATIONS!B10)</f>
        <v>0</v>
      </c>
      <c r="E13" s="12">
        <f>COUNTIF(CALCULATIONS!$L$2:$P$22,CALCULATIONS!A10)/COUNTA(CALCULATIONS!$K$2:$K$22)</f>
        <v>4.7619047619047616E-2</v>
      </c>
    </row>
    <row r="14" spans="2:5" ht="27.95" customHeight="1" x14ac:dyDescent="0.25">
      <c r="B14" s="3" t="str">
        <f>CALCULATIONS!A11</f>
        <v>Alexa Amesimeku</v>
      </c>
      <c r="C14" s="13">
        <f>CALCULATIONS!C11</f>
        <v>9.5</v>
      </c>
      <c r="D14" s="14">
        <f>IF(SETTINGS!C29=0,0,CALCULATIONS!C11-CALCULATIONS!B11)</f>
        <v>0</v>
      </c>
      <c r="E14" s="15">
        <f>COUNTIF(CALCULATIONS!$L$2:$P$22,CALCULATIONS!A11)/COUNTA(CALCULATIONS!$K$2:$K$22)</f>
        <v>4.7619047619047616E-2</v>
      </c>
    </row>
    <row r="15" spans="2:5" ht="27.95" customHeight="1" x14ac:dyDescent="0.25">
      <c r="B15" s="7" t="str">
        <f>CALCULATIONS!A12</f>
        <v>Daniel Liu</v>
      </c>
      <c r="C15" s="10">
        <f>CALCULATIONS!C12</f>
        <v>9.5</v>
      </c>
      <c r="D15" s="11">
        <f>IF(SETTINGS!C29=0,0,CALCULATIONS!C12-CALCULATIONS!B12)</f>
        <v>0</v>
      </c>
      <c r="E15" s="12">
        <f>COUNTIF(CALCULATIONS!$L$2:$P$22,CALCULATIONS!A12)/COUNTA(CALCULATIONS!$K$2:$K$22)</f>
        <v>0</v>
      </c>
    </row>
    <row r="16" spans="2:5" ht="27.95" customHeight="1" x14ac:dyDescent="0.25">
      <c r="B16" s="3" t="str">
        <f>CALCULATIONS!A13</f>
        <v>Rebecca Seymour</v>
      </c>
      <c r="C16" s="13">
        <f>CALCULATIONS!C13</f>
        <v>9.5</v>
      </c>
      <c r="D16" s="14">
        <f>IF(SETTINGS!C29=0,0,CALCULATIONS!C13-CALCULATIONS!B13)</f>
        <v>0</v>
      </c>
      <c r="E16" s="15">
        <f>COUNTIF(CALCULATIONS!$L$2:$P$22,CALCULATIONS!A13)/COUNTA(CALCULATIONS!$K$2:$K$22)</f>
        <v>9.5238095238095233E-2</v>
      </c>
    </row>
    <row r="17" spans="2:5" ht="27.95" customHeight="1" x14ac:dyDescent="0.25">
      <c r="B17" s="7" t="str">
        <f>CALCULATIONS!A14</f>
        <v>Edwin Mayers</v>
      </c>
      <c r="C17" s="10">
        <f>CALCULATIONS!C14</f>
        <v>9</v>
      </c>
      <c r="D17" s="11">
        <f>IF(SETTINGS!C29=0,0,CALCULATIONS!C14-CALCULATIONS!B14)</f>
        <v>0</v>
      </c>
      <c r="E17" s="12">
        <f>COUNTIF(CALCULATIONS!$L$2:$P$22,CALCULATIONS!A14)/COUNTA(CALCULATIONS!$K$2:$K$22)</f>
        <v>0.33333333333333331</v>
      </c>
    </row>
    <row r="18" spans="2:5" ht="27.95" customHeight="1" x14ac:dyDescent="0.25">
      <c r="B18" s="3" t="str">
        <f>CALCULATIONS!A15</f>
        <v>Melody Zhaeentan</v>
      </c>
      <c r="C18" s="13">
        <f>CALCULATIONS!C15</f>
        <v>8.5</v>
      </c>
      <c r="D18" s="14">
        <f>IF(SETTINGS!C29=0,0,CALCULATIONS!C15-CALCULATIONS!B15)</f>
        <v>0</v>
      </c>
      <c r="E18" s="15">
        <f>COUNTIF(CALCULATIONS!$L$2:$P$22,CALCULATIONS!A15)/COUNTA(CALCULATIONS!$K$2:$K$22)</f>
        <v>9.5238095238095233E-2</v>
      </c>
    </row>
    <row r="19" spans="2:5" ht="27.95" customHeight="1" x14ac:dyDescent="0.25">
      <c r="B19" s="7" t="str">
        <f>CALCULATIONS!A16</f>
        <v>Esme Beston</v>
      </c>
      <c r="C19" s="10">
        <f>CALCULATIONS!C16</f>
        <v>8</v>
      </c>
      <c r="D19" s="11">
        <f>IF(SETTINGS!C29=0,0,CALCULATIONS!C16-CALCULATIONS!B16)</f>
        <v>0</v>
      </c>
      <c r="E19" s="12">
        <f>COUNTIF(CALCULATIONS!$L$2:$P$22,CALCULATIONS!A16)/COUNTA(CALCULATIONS!$K$2:$K$22)</f>
        <v>4.7619047619047616E-2</v>
      </c>
    </row>
    <row r="20" spans="2:5" ht="27.95" customHeight="1" x14ac:dyDescent="0.25">
      <c r="B20" s="3" t="str">
        <f>CALCULATIONS!A17</f>
        <v>Iona Smith</v>
      </c>
      <c r="C20" s="13">
        <f>CALCULATIONS!C17</f>
        <v>8</v>
      </c>
      <c r="D20" s="14">
        <f>IF(SETTINGS!C29=0,0,CALCULATIONS!C17-CALCULATIONS!B17)</f>
        <v>0</v>
      </c>
      <c r="E20" s="15">
        <f>COUNTIF(CALCULATIONS!$L$2:$P$22,CALCULATIONS!A17)/COUNTA(CALCULATIONS!$K$2:$K$22)</f>
        <v>0</v>
      </c>
    </row>
    <row r="21" spans="2:5" ht="27.95" customHeight="1" x14ac:dyDescent="0.25">
      <c r="B21" s="7" t="str">
        <f>CALCULATIONS!A18</f>
        <v>Oscar Day-Duran</v>
      </c>
      <c r="C21" s="10">
        <f>CALCULATIONS!C18</f>
        <v>8</v>
      </c>
      <c r="D21" s="11">
        <f>IF(SETTINGS!C29=0,0,CALCULATIONS!C18-CALCULATIONS!B18)</f>
        <v>0</v>
      </c>
      <c r="E21" s="12">
        <f>COUNTIF(CALCULATIONS!$L$2:$P$22,CALCULATIONS!A18)/COUNTA(CALCULATIONS!$K$2:$K$22)</f>
        <v>9.5238095238095233E-2</v>
      </c>
    </row>
    <row r="22" spans="2:5" ht="27.95" customHeight="1" x14ac:dyDescent="0.25">
      <c r="B22" s="3" t="str">
        <f>CALCULATIONS!A19</f>
        <v>Alfie Foley</v>
      </c>
      <c r="C22" s="13">
        <f>CALCULATIONS!C19</f>
        <v>7.5</v>
      </c>
      <c r="D22" s="14">
        <f>IF(SETTINGS!C29=0,0,CALCULATIONS!C19-CALCULATIONS!B19)</f>
        <v>0</v>
      </c>
      <c r="E22" s="15">
        <f>COUNTIF(CALCULATIONS!$L$2:$P$22,CALCULATIONS!A19)/COUNTA(CALCULATIONS!$K$2:$K$22)</f>
        <v>9.5238095238095233E-2</v>
      </c>
    </row>
    <row r="23" spans="2:5" ht="27.95" customHeight="1" x14ac:dyDescent="0.25">
      <c r="B23" s="7" t="str">
        <f>CALCULATIONS!A20</f>
        <v>Ava Swinfen</v>
      </c>
      <c r="C23" s="10">
        <f>CALCULATIONS!C20</f>
        <v>7</v>
      </c>
      <c r="D23" s="11">
        <f>IF(SETTINGS!C29=0,0,CALCULATIONS!C20-CALCULATIONS!B20)</f>
        <v>0</v>
      </c>
      <c r="E23" s="12">
        <f>COUNTIF(CALCULATIONS!$L$2:$P$22,CALCULATIONS!A20)/COUNTA(CALCULATIONS!$K$2:$K$22)</f>
        <v>0.2857142857142857</v>
      </c>
    </row>
    <row r="24" spans="2:5" ht="27.95" customHeight="1" x14ac:dyDescent="0.25">
      <c r="B24" s="3" t="str">
        <f>CALCULATIONS!A21</f>
        <v>Rory Bowman</v>
      </c>
      <c r="C24" s="13">
        <f>CALCULATIONS!C21</f>
        <v>7</v>
      </c>
      <c r="D24" s="14">
        <f>IF(SETTINGS!C29=0,0,CALCULATIONS!C21-CALCULATIONS!B21)</f>
        <v>0</v>
      </c>
      <c r="E24" s="15">
        <f>COUNTIF(CALCULATIONS!$L$2:$P$22,CALCULATIONS!A21)/COUNTA(CALCULATIONS!$K$2:$K$22)</f>
        <v>0</v>
      </c>
    </row>
    <row r="25" spans="2:5" ht="27.95" customHeight="1" x14ac:dyDescent="0.25">
      <c r="B25" s="7" t="str">
        <f>CALCULATIONS!A22</f>
        <v>Xander Meijer</v>
      </c>
      <c r="C25" s="10">
        <f>CALCULATIONS!C22</f>
        <v>7</v>
      </c>
      <c r="D25" s="11">
        <f>IF(SETTINGS!C29=0,0,CALCULATIONS!C22-CALCULATIONS!B22)</f>
        <v>0</v>
      </c>
      <c r="E25" s="12">
        <f>COUNTIF(CALCULATIONS!$L$2:$P$22,CALCULATIONS!A22)/COUNTA(CALCULATIONS!$K$2:$K$22)</f>
        <v>4.7619047619047616E-2</v>
      </c>
    </row>
    <row r="28" spans="2:5" x14ac:dyDescent="0.25">
      <c r="B28" s="50" t="s">
        <v>70</v>
      </c>
      <c r="C28" s="38"/>
      <c r="D28" s="38"/>
      <c r="E28" s="38"/>
    </row>
    <row r="29" spans="2:5" x14ac:dyDescent="0.25">
      <c r="B29" s="38"/>
      <c r="C29" s="38"/>
      <c r="D29" s="38"/>
      <c r="E29" s="38"/>
    </row>
    <row r="30" spans="2:5" x14ac:dyDescent="0.25">
      <c r="B30" s="38"/>
      <c r="C30" s="38"/>
      <c r="D30" s="38"/>
      <c r="E30" s="38"/>
    </row>
  </sheetData>
  <sheetProtection password="90E3" sheet="1" formatCells="0" formatColumns="0" formatRows="0"/>
  <mergeCells count="3">
    <mergeCell ref="B1:E1"/>
    <mergeCell ref="B2:E2"/>
    <mergeCell ref="B28:E30"/>
  </mergeCells>
  <conditionalFormatting sqref="D5:D25">
    <cfRule type="expression" dxfId="50" priority="1">
      <formula>D5&gt;0</formula>
    </cfRule>
    <cfRule type="expression" dxfId="49" priority="2">
      <formula>D5&lt;0</formula>
    </cfRule>
    <cfRule type="expression" dxfId="48" priority="3">
      <formula>D5=0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</sheetPr>
  <dimension ref="B1:D26"/>
  <sheetViews>
    <sheetView showGridLines="0" zoomScale="70" zoomScaleNormal="70" workbookViewId="0">
      <selection activeCell="I14" sqref="I14"/>
    </sheetView>
  </sheetViews>
  <sheetFormatPr defaultRowHeight="15" x14ac:dyDescent="0.25"/>
  <cols>
    <col min="1" max="1" width="4" customWidth="1"/>
    <col min="2" max="2" width="12" customWidth="1"/>
    <col min="3" max="3" width="32" customWidth="1"/>
    <col min="4" max="4" width="18" customWidth="1"/>
  </cols>
  <sheetData>
    <row r="1" spans="2:4" ht="51.95" customHeight="1" x14ac:dyDescent="0.25">
      <c r="B1" s="42" t="s">
        <v>71</v>
      </c>
      <c r="C1" s="38"/>
      <c r="D1" s="38"/>
    </row>
    <row r="2" spans="2:4" ht="26.1" customHeight="1" x14ac:dyDescent="0.25">
      <c r="B2" s="47" t="s">
        <v>72</v>
      </c>
      <c r="C2" s="38"/>
      <c r="D2" s="38"/>
    </row>
    <row r="3" spans="2:4" ht="38.1" customHeight="1" x14ac:dyDescent="0.25">
      <c r="B3" s="51" t="str">
        <f>IF(MAX($D$6:$D$26)=0,"🏆  OVERALL LEADER:  No results yet","🏆  OVERALL LEADER:  "&amp;INDEX($C$6:$C$26,MATCH(MAX($D$6:$D$26),$D$6:$D$26,0))&amp;"  —  "&amp;MAX($D$6:$D$26)&amp;" pts")</f>
        <v>🏆  OVERALL LEADER:  Daniel Liu  —  36 pts</v>
      </c>
      <c r="C3" s="38"/>
      <c r="D3" s="38"/>
    </row>
    <row r="4" spans="2:4" ht="12" customHeight="1" x14ac:dyDescent="0.25"/>
    <row r="5" spans="2:4" ht="32.1" customHeight="1" x14ac:dyDescent="0.25">
      <c r="B5" s="4" t="s">
        <v>73</v>
      </c>
      <c r="C5" s="4" t="s">
        <v>36</v>
      </c>
      <c r="D5" s="4" t="s">
        <v>74</v>
      </c>
    </row>
    <row r="6" spans="2:4" ht="30" customHeight="1" x14ac:dyDescent="0.25">
      <c r="B6" s="53" cm="1">
        <f t="array" ref="B6">SUMPRODUCT((D$6:D$26&gt;D6)/COUNTIF(D$6:D$26,D$6:D$26))+1</f>
        <v>1</v>
      </c>
      <c r="C6" s="7" t="str">
        <f>IFERROR(INDEX(CALCULATIONS!$K$2:$K$22,MATCH(LARGE(CALCULATIONS!$V$2:$V$22,ROW()-5),CALCULATIONS!$V$2:$V$22,0)),"")</f>
        <v>Daniel Liu</v>
      </c>
      <c r="D6" s="16">
        <f>ROUND(LARGE(CALCULATIONS!$V$2:$V$22,ROW()-5),0)</f>
        <v>36</v>
      </c>
    </row>
    <row r="7" spans="2:4" ht="30" customHeight="1" x14ac:dyDescent="0.25">
      <c r="B7" s="53" cm="1">
        <f t="array" ref="B7">SUMPRODUCT((D$6:D$26&gt;D7)/COUNTIF(D$6:D$26,D$6:D$26))+1</f>
        <v>2</v>
      </c>
      <c r="C7" s="7" t="str">
        <f>IFERROR(INDEX(CALCULATIONS!$K$2:$K$22,MATCH(LARGE(CALCULATIONS!$V$2:$V$22,ROW()-5),CALCULATIONS!$V$2:$V$22,0)),"")</f>
        <v>Edwin Mayers</v>
      </c>
      <c r="D7" s="16">
        <f>ROUND(LARGE(CALCULATIONS!$V$2:$V$22,ROW()-5),0)</f>
        <v>31</v>
      </c>
    </row>
    <row r="8" spans="2:4" ht="30" customHeight="1" x14ac:dyDescent="0.25">
      <c r="B8" s="53" cm="1">
        <f t="array" ref="B8">SUMPRODUCT((D$6:D$26&gt;D8)/COUNTIF(D$6:D$26,D$6:D$26))+1</f>
        <v>2</v>
      </c>
      <c r="C8" s="7" t="str">
        <f>IFERROR(INDEX(CALCULATIONS!$K$2:$K$22,MATCH(LARGE(CALCULATIONS!$V$2:$V$22,ROW()-5),CALCULATIONS!$V$2:$V$22,0)),"")</f>
        <v>Alfie Foley</v>
      </c>
      <c r="D8" s="16">
        <f>ROUND(LARGE(CALCULATIONS!$V$2:$V$22,ROW()-5),0)</f>
        <v>31</v>
      </c>
    </row>
    <row r="9" spans="2:4" ht="30" customHeight="1" x14ac:dyDescent="0.25">
      <c r="B9" s="53" cm="1">
        <f t="array" ref="B9">SUMPRODUCT((D$6:D$26&gt;D9)/COUNTIF(D$6:D$26,D$6:D$26))+1</f>
        <v>3</v>
      </c>
      <c r="C9" s="7" t="str">
        <f>IFERROR(INDEX(CALCULATIONS!$K$2:$K$22,MATCH(LARGE(CALCULATIONS!$V$2:$V$22,ROW()-5),CALCULATIONS!$V$2:$V$22,0)),"")</f>
        <v>Ava Swinfen</v>
      </c>
      <c r="D9" s="16">
        <f>ROUND(LARGE(CALCULATIONS!$V$2:$V$22,ROW()-5),0)</f>
        <v>29</v>
      </c>
    </row>
    <row r="10" spans="2:4" ht="30" customHeight="1" x14ac:dyDescent="0.25">
      <c r="B10" s="53" cm="1">
        <f t="array" ref="B10">SUMPRODUCT((D$6:D$26&gt;D10)/COUNTIF(D$6:D$26,D$6:D$26))+1</f>
        <v>4</v>
      </c>
      <c r="C10" s="7" t="str">
        <f>IFERROR(INDEX(CALCULATIONS!$K$2:$K$22,MATCH(LARGE(CALCULATIONS!$V$2:$V$22,ROW()-5),CALCULATIONS!$V$2:$V$22,0)),"")</f>
        <v>Chinedu Chile</v>
      </c>
      <c r="D10" s="16">
        <f>ROUND(LARGE(CALCULATIONS!$V$2:$V$22,ROW()-5),0)</f>
        <v>26</v>
      </c>
    </row>
    <row r="11" spans="2:4" ht="30" customHeight="1" x14ac:dyDescent="0.25">
      <c r="B11" s="53" cm="1">
        <f t="array" ref="B11">SUMPRODUCT((D$6:D$26&gt;D11)/COUNTIF(D$6:D$26,D$6:D$26))+1</f>
        <v>5</v>
      </c>
      <c r="C11" s="7" t="str">
        <f>IFERROR(INDEX(CALCULATIONS!$K$2:$K$22,MATCH(LARGE(CALCULATIONS!$V$2:$V$22,ROW()-5),CALCULATIONS!$V$2:$V$22,0)),"")</f>
        <v>Xander Meijer</v>
      </c>
      <c r="D11" s="16">
        <f>ROUND(LARGE(CALCULATIONS!$V$2:$V$22,ROW()-5),0)</f>
        <v>24</v>
      </c>
    </row>
    <row r="12" spans="2:4" ht="30" customHeight="1" x14ac:dyDescent="0.25">
      <c r="B12" s="53" cm="1">
        <f t="array" ref="B12">SUMPRODUCT((D$6:D$26&gt;D12)/COUNTIF(D$6:D$26,D$6:D$26))+1</f>
        <v>6</v>
      </c>
      <c r="C12" s="7" t="str">
        <f>IFERROR(INDEX(CALCULATIONS!$K$2:$K$22,MATCH(LARGE(CALCULATIONS!$V$2:$V$22,ROW()-5),CALCULATIONS!$V$2:$V$22,0)),"")</f>
        <v>Rory Bowman</v>
      </c>
      <c r="D12" s="16">
        <f>ROUND(LARGE(CALCULATIONS!$V$2:$V$22,ROW()-5),0)</f>
        <v>23</v>
      </c>
    </row>
    <row r="13" spans="2:4" ht="30" customHeight="1" x14ac:dyDescent="0.25">
      <c r="B13" s="53" cm="1">
        <f t="array" ref="B13">SUMPRODUCT((D$6:D$26&gt;D13)/COUNTIF(D$6:D$26,D$6:D$26))+1</f>
        <v>6</v>
      </c>
      <c r="C13" s="7" t="str">
        <f>IFERROR(INDEX(CALCULATIONS!$K$2:$K$22,MATCH(LARGE(CALCULATIONS!$V$2:$V$22,ROW()-5),CALCULATIONS!$V$2:$V$22,0)),"")</f>
        <v>Azlan Husain</v>
      </c>
      <c r="D13" s="16">
        <f>ROUND(LARGE(CALCULATIONS!$V$2:$V$22,ROW()-5),0)</f>
        <v>23</v>
      </c>
    </row>
    <row r="14" spans="2:4" ht="30" customHeight="1" x14ac:dyDescent="0.25">
      <c r="B14" s="53" cm="1">
        <f t="array" ref="B14">SUMPRODUCT((D$6:D$26&gt;D14)/COUNTIF(D$6:D$26,D$6:D$26))+1</f>
        <v>7</v>
      </c>
      <c r="C14" s="7" t="str">
        <f>IFERROR(INDEX(CALCULATIONS!$K$2:$K$22,MATCH(LARGE(CALCULATIONS!$V$2:$V$22,ROW()-5),CALCULATIONS!$V$2:$V$22,0)),"")</f>
        <v>Oscar Day-Duran</v>
      </c>
      <c r="D14" s="16">
        <f>ROUND(LARGE(CALCULATIONS!$V$2:$V$22,ROW()-5),0)</f>
        <v>17</v>
      </c>
    </row>
    <row r="15" spans="2:4" ht="30" customHeight="1" x14ac:dyDescent="0.25">
      <c r="B15" s="53" cm="1">
        <f t="array" ref="B15">SUMPRODUCT((D$6:D$26&gt;D15)/COUNTIF(D$6:D$26,D$6:D$26))+1</f>
        <v>8</v>
      </c>
      <c r="C15" s="7" t="str">
        <f>IFERROR(INDEX(CALCULATIONS!$K$2:$K$22,MATCH(LARGE(CALCULATIONS!$V$2:$V$22,ROW()-5),CALCULATIONS!$V$2:$V$22,0)),"")</f>
        <v>Joe Paige</v>
      </c>
      <c r="D15" s="16">
        <f>ROUND(LARGE(CALCULATIONS!$V$2:$V$22,ROW()-5),0)</f>
        <v>15</v>
      </c>
    </row>
    <row r="16" spans="2:4" ht="30" customHeight="1" x14ac:dyDescent="0.25">
      <c r="B16" s="53" cm="1">
        <f t="array" ref="B16">SUMPRODUCT((D$6:D$26&gt;D16)/COUNTIF(D$6:D$26,D$6:D$26))+1</f>
        <v>9</v>
      </c>
      <c r="C16" s="7" t="str">
        <f>IFERROR(INDEX(CALCULATIONS!$K$2:$K$22,MATCH(LARGE(CALCULATIONS!$V$2:$V$22,ROW()-5),CALCULATIONS!$V$2:$V$22,0)),"")</f>
        <v>Melody Zhaeentan</v>
      </c>
      <c r="D16" s="16">
        <f>ROUND(LARGE(CALCULATIONS!$V$2:$V$22,ROW()-5),0)</f>
        <v>11</v>
      </c>
    </row>
    <row r="17" spans="2:4" ht="30" customHeight="1" x14ac:dyDescent="0.25">
      <c r="B17" s="53" cm="1">
        <f t="array" ref="B17">SUMPRODUCT((D$6:D$26&gt;D17)/COUNTIF(D$6:D$26,D$6:D$26))+1</f>
        <v>10</v>
      </c>
      <c r="C17" s="7" t="str">
        <f>IFERROR(INDEX(CALCULATIONS!$K$2:$K$22,MATCH(LARGE(CALCULATIONS!$V$2:$V$22,ROW()-5),CALCULATIONS!$V$2:$V$22,0)),"")</f>
        <v>David Wu</v>
      </c>
      <c r="D17" s="16">
        <f>ROUND(LARGE(CALCULATIONS!$V$2:$V$22,ROW()-5),0)</f>
        <v>9</v>
      </c>
    </row>
    <row r="18" spans="2:4" ht="30" customHeight="1" x14ac:dyDescent="0.25">
      <c r="B18" s="53" cm="1">
        <f t="array" ref="B18">SUMPRODUCT((D$6:D$26&gt;D18)/COUNTIF(D$6:D$26,D$6:D$26))+1</f>
        <v>11</v>
      </c>
      <c r="C18" s="7" t="str">
        <f>IFERROR(INDEX(CALCULATIONS!$K$2:$K$22,MATCH(LARGE(CALCULATIONS!$V$2:$V$22,ROW()-5),CALCULATIONS!$V$2:$V$22,0)),"")</f>
        <v>Sophie Barker</v>
      </c>
      <c r="D18" s="16">
        <f>ROUND(LARGE(CALCULATIONS!$V$2:$V$22,ROW()-5),0)</f>
        <v>0</v>
      </c>
    </row>
    <row r="19" spans="2:4" ht="30" customHeight="1" x14ac:dyDescent="0.25">
      <c r="B19" s="53" cm="1">
        <f t="array" ref="B19">SUMPRODUCT((D$6:D$26&gt;D19)/COUNTIF(D$6:D$26,D$6:D$26))+1</f>
        <v>11</v>
      </c>
      <c r="C19" s="7" t="str">
        <f>IFERROR(INDEX(CALCULATIONS!$K$2:$K$22,MATCH(LARGE(CALCULATIONS!$V$2:$V$22,ROW()-5),CALCULATIONS!$V$2:$V$22,0)),"")</f>
        <v>Rebecca Seymour</v>
      </c>
      <c r="D19" s="16">
        <f>ROUND(LARGE(CALCULATIONS!$V$2:$V$22,ROW()-5),0)</f>
        <v>0</v>
      </c>
    </row>
    <row r="20" spans="2:4" ht="30" customHeight="1" x14ac:dyDescent="0.25">
      <c r="B20" s="53" cm="1">
        <f t="array" ref="B20">SUMPRODUCT((D$6:D$26&gt;D20)/COUNTIF(D$6:D$26,D$6:D$26))+1</f>
        <v>11</v>
      </c>
      <c r="C20" s="7" t="str">
        <f>IFERROR(INDEX(CALCULATIONS!$K$2:$K$22,MATCH(LARGE(CALCULATIONS!$V$2:$V$22,ROW()-5),CALCULATIONS!$V$2:$V$22,0)),"")</f>
        <v>Nina De Saram</v>
      </c>
      <c r="D20" s="16">
        <f>ROUND(LARGE(CALCULATIONS!$V$2:$V$22,ROW()-5),0)</f>
        <v>0</v>
      </c>
    </row>
    <row r="21" spans="2:4" ht="30" customHeight="1" x14ac:dyDescent="0.25">
      <c r="B21" s="53" cm="1">
        <f t="array" ref="B21">SUMPRODUCT((D$6:D$26&gt;D21)/COUNTIF(D$6:D$26,D$6:D$26))+1</f>
        <v>11</v>
      </c>
      <c r="C21" s="7" t="str">
        <f>IFERROR(INDEX(CALCULATIONS!$K$2:$K$22,MATCH(LARGE(CALCULATIONS!$V$2:$V$22,ROW()-5),CALCULATIONS!$V$2:$V$22,0)),"")</f>
        <v>Lia Li</v>
      </c>
      <c r="D21" s="16">
        <f>ROUND(LARGE(CALCULATIONS!$V$2:$V$22,ROW()-5),0)</f>
        <v>0</v>
      </c>
    </row>
    <row r="22" spans="2:4" ht="30" customHeight="1" x14ac:dyDescent="0.25">
      <c r="B22" s="53" cm="1">
        <f t="array" ref="B22">SUMPRODUCT((D$6:D$26&gt;D22)/COUNTIF(D$6:D$26,D$6:D$26))+1</f>
        <v>11</v>
      </c>
      <c r="C22" s="7" t="str">
        <f>IFERROR(INDEX(CALCULATIONS!$K$2:$K$22,MATCH(LARGE(CALCULATIONS!$V$2:$V$22,ROW()-5),CALCULATIONS!$V$2:$V$22,0)),"")</f>
        <v>Iona Smith</v>
      </c>
      <c r="D22" s="16">
        <f>ROUND(LARGE(CALCULATIONS!$V$2:$V$22,ROW()-5),0)</f>
        <v>0</v>
      </c>
    </row>
    <row r="23" spans="2:4" ht="30" customHeight="1" x14ac:dyDescent="0.25">
      <c r="B23" s="53" cm="1">
        <f t="array" ref="B23">SUMPRODUCT((D$6:D$26&gt;D23)/COUNTIF(D$6:D$26,D$6:D$26))+1</f>
        <v>11</v>
      </c>
      <c r="C23" s="7" t="str">
        <f>IFERROR(INDEX(CALCULATIONS!$K$2:$K$22,MATCH(LARGE(CALCULATIONS!$V$2:$V$22,ROW()-5),CALCULATIONS!$V$2:$V$22,0)),"")</f>
        <v>Esme Beston</v>
      </c>
      <c r="D23" s="16">
        <f>ROUND(LARGE(CALCULATIONS!$V$2:$V$22,ROW()-5),0)</f>
        <v>0</v>
      </c>
    </row>
    <row r="24" spans="2:4" ht="30" customHeight="1" x14ac:dyDescent="0.25">
      <c r="B24" s="53" cm="1">
        <f t="array" ref="B24">SUMPRODUCT((D$6:D$26&gt;D24)/COUNTIF(D$6:D$26,D$6:D$26))+1</f>
        <v>11</v>
      </c>
      <c r="C24" s="7" t="str">
        <f>IFERROR(INDEX(CALCULATIONS!$K$2:$K$22,MATCH(LARGE(CALCULATIONS!$V$2:$V$22,ROW()-5),CALCULATIONS!$V$2:$V$22,0)),"")</f>
        <v>Emily Warburton</v>
      </c>
      <c r="D24" s="16">
        <f>ROUND(LARGE(CALCULATIONS!$V$2:$V$22,ROW()-5),0)</f>
        <v>0</v>
      </c>
    </row>
    <row r="25" spans="2:4" ht="30" customHeight="1" x14ac:dyDescent="0.25">
      <c r="B25" s="53" cm="1">
        <f t="array" ref="B25">SUMPRODUCT((D$6:D$26&gt;D25)/COUNTIF(D$6:D$26,D$6:D$26))+1</f>
        <v>11</v>
      </c>
      <c r="C25" s="7" t="str">
        <f>IFERROR(INDEX(CALCULATIONS!$K$2:$K$22,MATCH(LARGE(CALCULATIONS!$V$2:$V$22,ROW()-5),CALCULATIONS!$V$2:$V$22,0)),"")</f>
        <v>Alyza Rai</v>
      </c>
      <c r="D25" s="16">
        <f>ROUND(LARGE(CALCULATIONS!$V$2:$V$22,ROW()-5),0)</f>
        <v>0</v>
      </c>
    </row>
    <row r="26" spans="2:4" ht="30" customHeight="1" x14ac:dyDescent="0.25">
      <c r="B26" s="53" cm="1">
        <f t="array" ref="B26">SUMPRODUCT((D$6:D$26&gt;D26)/COUNTIF(D$6:D$26,D$6:D$26))+1</f>
        <v>11</v>
      </c>
      <c r="C26" s="7" t="str">
        <f>IFERROR(INDEX(CALCULATIONS!$K$2:$K$22,MATCH(LARGE(CALCULATIONS!$V$2:$V$22,ROW()-5),CALCULATIONS!$V$2:$V$22,0)),"")</f>
        <v>Alexa Amesimeku</v>
      </c>
      <c r="D26" s="16">
        <f>ROUND(LARGE(CALCULATIONS!$V$2:$V$22,ROW()-5),0)</f>
        <v>0</v>
      </c>
    </row>
  </sheetData>
  <sheetProtection formatCells="0" formatColumns="0" formatRows="0"/>
  <mergeCells count="3">
    <mergeCell ref="B1:D1"/>
    <mergeCell ref="B2:D2"/>
    <mergeCell ref="B3:D3"/>
  </mergeCells>
  <conditionalFormatting sqref="B6:B26">
    <cfRule type="expression" dxfId="47" priority="1">
      <formula>$B6=1</formula>
    </cfRule>
    <cfRule type="expression" dxfId="46" priority="2">
      <formula>$B6=2</formula>
    </cfRule>
    <cfRule type="expression" dxfId="45" priority="3">
      <formula>$B6=3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9488"/>
  </sheetPr>
  <dimension ref="B1:D28"/>
  <sheetViews>
    <sheetView showGridLines="0" topLeftCell="A3" zoomScale="90" workbookViewId="0">
      <selection activeCell="G11" sqref="G11"/>
    </sheetView>
  </sheetViews>
  <sheetFormatPr defaultRowHeight="15" x14ac:dyDescent="0.25"/>
  <cols>
    <col min="1" max="1" width="28.5703125" customWidth="1"/>
    <col min="2" max="2" width="12" customWidth="1"/>
    <col min="3" max="3" width="32" customWidth="1"/>
    <col min="4" max="4" width="18" customWidth="1"/>
  </cols>
  <sheetData>
    <row r="1" spans="2:4" ht="51.95" customHeight="1" x14ac:dyDescent="0.25">
      <c r="B1" s="42" t="s">
        <v>75</v>
      </c>
      <c r="C1" s="38"/>
      <c r="D1" s="38"/>
    </row>
    <row r="2" spans="2:4" ht="26.1" customHeight="1" x14ac:dyDescent="0.25">
      <c r="B2" s="47" t="s">
        <v>76</v>
      </c>
      <c r="C2" s="38"/>
      <c r="D2" s="38"/>
    </row>
    <row r="3" spans="2:4" ht="30" customHeight="1" x14ac:dyDescent="0.25">
      <c r="B3" s="1" t="s">
        <v>2</v>
      </c>
      <c r="C3" s="18">
        <f>HOME!C7</f>
        <v>1</v>
      </c>
    </row>
    <row r="4" spans="2:4" ht="9.9499999999999993" customHeight="1" x14ac:dyDescent="0.25"/>
    <row r="5" spans="2:4" ht="38.1" customHeight="1" x14ac:dyDescent="0.25">
      <c r="B5" s="51" t="str">
        <f>IF(MAX($D$8:$D$28)=0,"🏆  GW"&amp;$C$3&amp;" WINNER:  No results yet","🏆  GW"&amp;$C$3&amp;" WINNER:  "&amp;INDEX($C$8:$C$28,MATCH(MAX($D$8:$D$28),$D$8:$D$28,0))&amp;"  —  "&amp;MAX($D$8:$D$28)&amp;" pts")</f>
        <v>🏆  GW1 WINNER:  Daniel Liu  —  36 pts</v>
      </c>
      <c r="C5" s="38"/>
      <c r="D5" s="38"/>
    </row>
    <row r="6" spans="2:4" ht="12" customHeight="1" x14ac:dyDescent="0.25"/>
    <row r="7" spans="2:4" ht="32.1" customHeight="1" x14ac:dyDescent="0.25">
      <c r="B7" s="4" t="s">
        <v>73</v>
      </c>
      <c r="C7" s="4" t="s">
        <v>36</v>
      </c>
      <c r="D7" s="4" t="s">
        <v>77</v>
      </c>
    </row>
    <row r="8" spans="2:4" ht="30" customHeight="1" x14ac:dyDescent="0.25">
      <c r="B8" s="53" cm="1">
        <f t="array" ref="B8">SUMPRODUCT((D$8:D$28&gt;D8)/COUNTIF(D$8:D$28,D$8:D$28))+1</f>
        <v>1</v>
      </c>
      <c r="C8" s="7" t="str">
        <f>IFERROR(INDEX(CALCULATIONS!$K$2:$K$22,MATCH(LARGE(CALCULATIONS!$V$2:$V$22,ROW()-7),CALCULATIONS!$V$2:$V$22,0)),"")</f>
        <v>Daniel Liu</v>
      </c>
      <c r="D8" s="16">
        <f>ROUND(LARGE(CALCULATIONS!$V$2:$V$22,ROW()-7),0)</f>
        <v>36</v>
      </c>
    </row>
    <row r="9" spans="2:4" ht="30" customHeight="1" x14ac:dyDescent="0.25">
      <c r="B9" s="53" cm="1">
        <f t="array" ref="B9">SUMPRODUCT((D$8:D$28&gt;D9)/COUNTIF(D$8:D$28,D$8:D$28))+1</f>
        <v>2</v>
      </c>
      <c r="C9" s="7" t="str">
        <f>IFERROR(INDEX(CALCULATIONS!$K$2:$K$22,MATCH(LARGE(CALCULATIONS!$V$2:$V$22,ROW()-7),CALCULATIONS!$V$2:$V$22,0)),"")</f>
        <v>Edwin Mayers</v>
      </c>
      <c r="D9" s="16">
        <f>ROUND(LARGE(CALCULATIONS!$V$2:$V$22,ROW()-7),0)</f>
        <v>31</v>
      </c>
    </row>
    <row r="10" spans="2:4" ht="30" customHeight="1" x14ac:dyDescent="0.25">
      <c r="B10" s="53" cm="1">
        <f t="array" ref="B10">SUMPRODUCT((D$8:D$28&gt;D10)/COUNTIF(D$8:D$28,D$8:D$28))+1</f>
        <v>2</v>
      </c>
      <c r="C10" s="7" t="str">
        <f>IFERROR(INDEX(CALCULATIONS!$K$2:$K$22,MATCH(LARGE(CALCULATIONS!$V$2:$V$22,ROW()-7),CALCULATIONS!$V$2:$V$22,0)),"")</f>
        <v>Alfie Foley</v>
      </c>
      <c r="D10" s="16">
        <f>ROUND(LARGE(CALCULATIONS!$V$2:$V$22,ROW()-7),0)</f>
        <v>31</v>
      </c>
    </row>
    <row r="11" spans="2:4" ht="30" customHeight="1" x14ac:dyDescent="0.25">
      <c r="B11" s="53" cm="1">
        <f t="array" ref="B11">SUMPRODUCT((D$8:D$28&gt;D11)/COUNTIF(D$8:D$28,D$8:D$28))+1</f>
        <v>3</v>
      </c>
      <c r="C11" s="7" t="str">
        <f>IFERROR(INDEX(CALCULATIONS!$K$2:$K$22,MATCH(LARGE(CALCULATIONS!$V$2:$V$22,ROW()-7),CALCULATIONS!$V$2:$V$22,0)),"")</f>
        <v>Ava Swinfen</v>
      </c>
      <c r="D11" s="16">
        <f>ROUND(LARGE(CALCULATIONS!$V$2:$V$22,ROW()-7),0)</f>
        <v>29</v>
      </c>
    </row>
    <row r="12" spans="2:4" ht="30" customHeight="1" x14ac:dyDescent="0.25">
      <c r="B12" s="53" cm="1">
        <f t="array" ref="B12">SUMPRODUCT((D$8:D$28&gt;D12)/COUNTIF(D$8:D$28,D$8:D$28))+1</f>
        <v>4</v>
      </c>
      <c r="C12" s="7" t="str">
        <f>IFERROR(INDEX(CALCULATIONS!$K$2:$K$22,MATCH(LARGE(CALCULATIONS!$V$2:$V$22,ROW()-7),CALCULATIONS!$V$2:$V$22,0)),"")</f>
        <v>Chinedu Chile</v>
      </c>
      <c r="D12" s="16">
        <f>ROUND(LARGE(CALCULATIONS!$V$2:$V$22,ROW()-7),0)</f>
        <v>26</v>
      </c>
    </row>
    <row r="13" spans="2:4" ht="30" customHeight="1" x14ac:dyDescent="0.25">
      <c r="B13" s="53" cm="1">
        <f t="array" ref="B13">SUMPRODUCT((D$8:D$28&gt;D13)/COUNTIF(D$8:D$28,D$8:D$28))+1</f>
        <v>5</v>
      </c>
      <c r="C13" s="7" t="str">
        <f>IFERROR(INDEX(CALCULATIONS!$K$2:$K$22,MATCH(LARGE(CALCULATIONS!$V$2:$V$22,ROW()-7),CALCULATIONS!$V$2:$V$22,0)),"")</f>
        <v>Xander Meijer</v>
      </c>
      <c r="D13" s="16">
        <f>ROUND(LARGE(CALCULATIONS!$V$2:$V$22,ROW()-7),0)</f>
        <v>24</v>
      </c>
    </row>
    <row r="14" spans="2:4" ht="30" customHeight="1" x14ac:dyDescent="0.25">
      <c r="B14" s="53" cm="1">
        <f t="array" ref="B14">SUMPRODUCT((D$8:D$28&gt;D14)/COUNTIF(D$8:D$28,D$8:D$28))+1</f>
        <v>6</v>
      </c>
      <c r="C14" s="7" t="str">
        <f>IFERROR(INDEX(CALCULATIONS!$K$2:$K$22,MATCH(LARGE(CALCULATIONS!$V$2:$V$22,ROW()-7),CALCULATIONS!$V$2:$V$22,0)),"")</f>
        <v>Rory Bowman</v>
      </c>
      <c r="D14" s="16">
        <f>ROUND(LARGE(CALCULATIONS!$V$2:$V$22,ROW()-7),0)</f>
        <v>23</v>
      </c>
    </row>
    <row r="15" spans="2:4" ht="30" customHeight="1" x14ac:dyDescent="0.25">
      <c r="B15" s="53" cm="1">
        <f t="array" ref="B15">SUMPRODUCT((D$8:D$28&gt;D15)/COUNTIF(D$8:D$28,D$8:D$28))+1</f>
        <v>6</v>
      </c>
      <c r="C15" s="7" t="str">
        <f>IFERROR(INDEX(CALCULATIONS!$K$2:$K$22,MATCH(LARGE(CALCULATIONS!$V$2:$V$22,ROW()-7),CALCULATIONS!$V$2:$V$22,0)),"")</f>
        <v>Azlan Husain</v>
      </c>
      <c r="D15" s="16">
        <f>ROUND(LARGE(CALCULATIONS!$V$2:$V$22,ROW()-7),0)</f>
        <v>23</v>
      </c>
    </row>
    <row r="16" spans="2:4" ht="30" customHeight="1" x14ac:dyDescent="0.25">
      <c r="B16" s="53" cm="1">
        <f t="array" ref="B16">SUMPRODUCT((D$8:D$28&gt;D16)/COUNTIF(D$8:D$28,D$8:D$28))+1</f>
        <v>7</v>
      </c>
      <c r="C16" s="7" t="str">
        <f>IFERROR(INDEX(CALCULATIONS!$K$2:$K$22,MATCH(LARGE(CALCULATIONS!$V$2:$V$22,ROW()-7),CALCULATIONS!$V$2:$V$22,0)),"")</f>
        <v>Oscar Day-Duran</v>
      </c>
      <c r="D16" s="16">
        <f>ROUND(LARGE(CALCULATIONS!$V$2:$V$22,ROW()-7),0)</f>
        <v>17</v>
      </c>
    </row>
    <row r="17" spans="2:4" ht="30" customHeight="1" x14ac:dyDescent="0.25">
      <c r="B17" s="53" cm="1">
        <f t="array" ref="B17">SUMPRODUCT((D$8:D$28&gt;D17)/COUNTIF(D$8:D$28,D$8:D$28))+1</f>
        <v>8</v>
      </c>
      <c r="C17" s="7" t="str">
        <f>IFERROR(INDEX(CALCULATIONS!$K$2:$K$22,MATCH(LARGE(CALCULATIONS!$V$2:$V$22,ROW()-7),CALCULATIONS!$V$2:$V$22,0)),"")</f>
        <v>Joe Paige</v>
      </c>
      <c r="D17" s="16">
        <f>ROUND(LARGE(CALCULATIONS!$V$2:$V$22,ROW()-7),0)</f>
        <v>15</v>
      </c>
    </row>
    <row r="18" spans="2:4" ht="30" customHeight="1" x14ac:dyDescent="0.25">
      <c r="B18" s="53" cm="1">
        <f t="array" ref="B18">SUMPRODUCT((D$8:D$28&gt;D18)/COUNTIF(D$8:D$28,D$8:D$28))+1</f>
        <v>9</v>
      </c>
      <c r="C18" s="7" t="str">
        <f>IFERROR(INDEX(CALCULATIONS!$K$2:$K$22,MATCH(LARGE(CALCULATIONS!$V$2:$V$22,ROW()-7),CALCULATIONS!$V$2:$V$22,0)),"")</f>
        <v>Melody Zhaeentan</v>
      </c>
      <c r="D18" s="16">
        <f>ROUND(LARGE(CALCULATIONS!$V$2:$V$22,ROW()-7),0)</f>
        <v>11</v>
      </c>
    </row>
    <row r="19" spans="2:4" ht="30" customHeight="1" x14ac:dyDescent="0.25">
      <c r="B19" s="53" cm="1">
        <f t="array" ref="B19">SUMPRODUCT((D$8:D$28&gt;D19)/COUNTIF(D$8:D$28,D$8:D$28))+1</f>
        <v>10</v>
      </c>
      <c r="C19" s="7" t="str">
        <f>IFERROR(INDEX(CALCULATIONS!$K$2:$K$22,MATCH(LARGE(CALCULATIONS!$V$2:$V$22,ROW()-7),CALCULATIONS!$V$2:$V$22,0)),"")</f>
        <v>David Wu</v>
      </c>
      <c r="D19" s="16">
        <f>ROUND(LARGE(CALCULATIONS!$V$2:$V$22,ROW()-7),0)</f>
        <v>9</v>
      </c>
    </row>
    <row r="20" spans="2:4" ht="30" customHeight="1" x14ac:dyDescent="0.25">
      <c r="B20" s="53" cm="1">
        <f t="array" ref="B20">SUMPRODUCT((D$8:D$28&gt;D20)/COUNTIF(D$8:D$28,D$8:D$28))+1</f>
        <v>11</v>
      </c>
      <c r="C20" s="7" t="str">
        <f>IFERROR(INDEX(CALCULATIONS!$K$2:$K$22,MATCH(LARGE(CALCULATIONS!$V$2:$V$22,ROW()-7),CALCULATIONS!$V$2:$V$22,0)),"")</f>
        <v>Sophie Barker</v>
      </c>
      <c r="D20" s="16">
        <f>ROUND(LARGE(CALCULATIONS!$V$2:$V$22,ROW()-7),0)</f>
        <v>0</v>
      </c>
    </row>
    <row r="21" spans="2:4" ht="30" customHeight="1" x14ac:dyDescent="0.25">
      <c r="B21" s="53" cm="1">
        <f t="array" ref="B21">SUMPRODUCT((D$8:D$28&gt;D21)/COUNTIF(D$8:D$28,D$8:D$28))+1</f>
        <v>11</v>
      </c>
      <c r="C21" s="7" t="str">
        <f>IFERROR(INDEX(CALCULATIONS!$K$2:$K$22,MATCH(LARGE(CALCULATIONS!$V$2:$V$22,ROW()-7),CALCULATIONS!$V$2:$V$22,0)),"")</f>
        <v>Rebecca Seymour</v>
      </c>
      <c r="D21" s="16">
        <f>ROUND(LARGE(CALCULATIONS!$V$2:$V$22,ROW()-7),0)</f>
        <v>0</v>
      </c>
    </row>
    <row r="22" spans="2:4" ht="30" customHeight="1" x14ac:dyDescent="0.25">
      <c r="B22" s="53" cm="1">
        <f t="array" ref="B22">SUMPRODUCT((D$8:D$28&gt;D22)/COUNTIF(D$8:D$28,D$8:D$28))+1</f>
        <v>11</v>
      </c>
      <c r="C22" s="7" t="str">
        <f>IFERROR(INDEX(CALCULATIONS!$K$2:$K$22,MATCH(LARGE(CALCULATIONS!$V$2:$V$22,ROW()-7),CALCULATIONS!$V$2:$V$22,0)),"")</f>
        <v>Nina De Saram</v>
      </c>
      <c r="D22" s="16">
        <f>ROUND(LARGE(CALCULATIONS!$V$2:$V$22,ROW()-7),0)</f>
        <v>0</v>
      </c>
    </row>
    <row r="23" spans="2:4" ht="30" customHeight="1" x14ac:dyDescent="0.25">
      <c r="B23" s="53" cm="1">
        <f t="array" ref="B23">SUMPRODUCT((D$8:D$28&gt;D23)/COUNTIF(D$8:D$28,D$8:D$28))+1</f>
        <v>11</v>
      </c>
      <c r="C23" s="7" t="str">
        <f>IFERROR(INDEX(CALCULATIONS!$K$2:$K$22,MATCH(LARGE(CALCULATIONS!$V$2:$V$22,ROW()-7),CALCULATIONS!$V$2:$V$22,0)),"")</f>
        <v>Lia Li</v>
      </c>
      <c r="D23" s="16">
        <f>ROUND(LARGE(CALCULATIONS!$V$2:$V$22,ROW()-7),0)</f>
        <v>0</v>
      </c>
    </row>
    <row r="24" spans="2:4" ht="30" customHeight="1" x14ac:dyDescent="0.25">
      <c r="B24" s="53" cm="1">
        <f t="array" ref="B24">SUMPRODUCT((D$8:D$28&gt;D24)/COUNTIF(D$8:D$28,D$8:D$28))+1</f>
        <v>11</v>
      </c>
      <c r="C24" s="7" t="str">
        <f>IFERROR(INDEX(CALCULATIONS!$K$2:$K$22,MATCH(LARGE(CALCULATIONS!$V$2:$V$22,ROW()-7),CALCULATIONS!$V$2:$V$22,0)),"")</f>
        <v>Iona Smith</v>
      </c>
      <c r="D24" s="16">
        <f>ROUND(LARGE(CALCULATIONS!$V$2:$V$22,ROW()-7),0)</f>
        <v>0</v>
      </c>
    </row>
    <row r="25" spans="2:4" ht="30" customHeight="1" x14ac:dyDescent="0.25">
      <c r="B25" s="53" cm="1">
        <f t="array" ref="B25">SUMPRODUCT((D$8:D$28&gt;D25)/COUNTIF(D$8:D$28,D$8:D$28))+1</f>
        <v>11</v>
      </c>
      <c r="C25" s="7" t="str">
        <f>IFERROR(INDEX(CALCULATIONS!$K$2:$K$22,MATCH(LARGE(CALCULATIONS!$V$2:$V$22,ROW()-7),CALCULATIONS!$V$2:$V$22,0)),"")</f>
        <v>Esme Beston</v>
      </c>
      <c r="D25" s="16">
        <f>ROUND(LARGE(CALCULATIONS!$V$2:$V$22,ROW()-7),0)</f>
        <v>0</v>
      </c>
    </row>
    <row r="26" spans="2:4" ht="30" customHeight="1" x14ac:dyDescent="0.25">
      <c r="B26" s="53" cm="1">
        <f t="array" ref="B26">SUMPRODUCT((D$8:D$28&gt;D26)/COUNTIF(D$8:D$28,D$8:D$28))+1</f>
        <v>11</v>
      </c>
      <c r="C26" s="7" t="str">
        <f>IFERROR(INDEX(CALCULATIONS!$K$2:$K$22,MATCH(LARGE(CALCULATIONS!$V$2:$V$22,ROW()-7),CALCULATIONS!$V$2:$V$22,0)),"")</f>
        <v>Emily Warburton</v>
      </c>
      <c r="D26" s="16">
        <f>ROUND(LARGE(CALCULATIONS!$V$2:$V$22,ROW()-7),0)</f>
        <v>0</v>
      </c>
    </row>
    <row r="27" spans="2:4" ht="30" customHeight="1" x14ac:dyDescent="0.25">
      <c r="B27" s="53" cm="1">
        <f t="array" ref="B27">SUMPRODUCT((D$8:D$28&gt;D27)/COUNTIF(D$8:D$28,D$8:D$28))+1</f>
        <v>11</v>
      </c>
      <c r="C27" s="7" t="str">
        <f>IFERROR(INDEX(CALCULATIONS!$K$2:$K$22,MATCH(LARGE(CALCULATIONS!$V$2:$V$22,ROW()-7),CALCULATIONS!$V$2:$V$22,0)),"")</f>
        <v>Alyza Rai</v>
      </c>
      <c r="D27" s="16">
        <f>ROUND(LARGE(CALCULATIONS!$V$2:$V$22,ROW()-7),0)</f>
        <v>0</v>
      </c>
    </row>
    <row r="28" spans="2:4" ht="30" customHeight="1" x14ac:dyDescent="0.25">
      <c r="B28" s="53" cm="1">
        <f t="array" ref="B28">SUMPRODUCT((D$8:D$28&gt;D28)/COUNTIF(D$8:D$28,D$8:D$28))+1</f>
        <v>11</v>
      </c>
      <c r="C28" s="7" t="str">
        <f>IFERROR(INDEX(CALCULATIONS!$K$2:$K$22,MATCH(LARGE(CALCULATIONS!$V$2:$V$22,ROW()-7),CALCULATIONS!$V$2:$V$22,0)),"")</f>
        <v>Alexa Amesimeku</v>
      </c>
      <c r="D28" s="16">
        <f>ROUND(LARGE(CALCULATIONS!$V$2:$V$22,ROW()-7),0)</f>
        <v>0</v>
      </c>
    </row>
  </sheetData>
  <sheetProtection formatCells="0" formatColumns="0" formatRows="0"/>
  <mergeCells count="3">
    <mergeCell ref="B1:D1"/>
    <mergeCell ref="B5:D5"/>
    <mergeCell ref="B2:D2"/>
  </mergeCells>
  <conditionalFormatting sqref="B8:B28">
    <cfRule type="expression" dxfId="44" priority="1">
      <formula>$B8=1</formula>
    </cfRule>
    <cfRule type="expression" dxfId="43" priority="2">
      <formula>$B8=2</formula>
    </cfRule>
    <cfRule type="expression" dxfId="42" priority="3">
      <formula>$B8=3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75569"/>
  </sheetPr>
  <dimension ref="B1:C25"/>
  <sheetViews>
    <sheetView showGridLines="0" zoomScale="90" workbookViewId="0"/>
  </sheetViews>
  <sheetFormatPr defaultRowHeight="15" x14ac:dyDescent="0.25"/>
  <cols>
    <col min="1" max="1" width="4" customWidth="1"/>
    <col min="2" max="2" width="28" customWidth="1"/>
    <col min="3" max="3" width="72" customWidth="1"/>
  </cols>
  <sheetData>
    <row r="1" spans="2:3" ht="51.95" customHeight="1" x14ac:dyDescent="0.25">
      <c r="B1" s="42" t="s">
        <v>78</v>
      </c>
      <c r="C1" s="38"/>
    </row>
    <row r="4" spans="2:3" ht="39.950000000000003" customHeight="1" x14ac:dyDescent="0.25">
      <c r="B4" s="19" t="s">
        <v>79</v>
      </c>
      <c r="C4" s="20" t="s">
        <v>80</v>
      </c>
    </row>
    <row r="5" spans="2:3" ht="8.1" customHeight="1" x14ac:dyDescent="0.25"/>
    <row r="6" spans="2:3" ht="39.950000000000003" customHeight="1" x14ac:dyDescent="0.25">
      <c r="B6" s="19" t="s">
        <v>81</v>
      </c>
      <c r="C6" s="20" t="s">
        <v>82</v>
      </c>
    </row>
    <row r="7" spans="2:3" ht="8.1" customHeight="1" x14ac:dyDescent="0.25"/>
    <row r="8" spans="2:3" ht="39.950000000000003" customHeight="1" x14ac:dyDescent="0.25">
      <c r="B8" s="19" t="s">
        <v>83</v>
      </c>
      <c r="C8" s="20" t="s">
        <v>84</v>
      </c>
    </row>
    <row r="9" spans="2:3" ht="8.1" customHeight="1" x14ac:dyDescent="0.25"/>
    <row r="10" spans="2:3" ht="39.950000000000003" customHeight="1" x14ac:dyDescent="0.25">
      <c r="B10" s="19" t="s">
        <v>85</v>
      </c>
      <c r="C10" s="20" t="s">
        <v>84</v>
      </c>
    </row>
    <row r="11" spans="2:3" ht="8.1" customHeight="1" x14ac:dyDescent="0.25"/>
    <row r="12" spans="2:3" ht="39.950000000000003" customHeight="1" x14ac:dyDescent="0.25">
      <c r="B12" s="19" t="s">
        <v>86</v>
      </c>
      <c r="C12" s="20" t="s">
        <v>87</v>
      </c>
    </row>
    <row r="13" spans="2:3" ht="8.1" customHeight="1" x14ac:dyDescent="0.25"/>
    <row r="14" spans="2:3" ht="39.950000000000003" customHeight="1" x14ac:dyDescent="0.25">
      <c r="B14" s="19" t="s">
        <v>88</v>
      </c>
      <c r="C14" s="20" t="s">
        <v>89</v>
      </c>
    </row>
    <row r="15" spans="2:3" ht="8.1" customHeight="1" x14ac:dyDescent="0.25"/>
    <row r="16" spans="2:3" ht="39.950000000000003" customHeight="1" x14ac:dyDescent="0.25">
      <c r="B16" s="19" t="s">
        <v>90</v>
      </c>
      <c r="C16" s="20" t="s">
        <v>91</v>
      </c>
    </row>
    <row r="17" spans="2:3" ht="8.1" customHeight="1" x14ac:dyDescent="0.25"/>
    <row r="18" spans="2:3" ht="39.950000000000003" customHeight="1" x14ac:dyDescent="0.25">
      <c r="B18" s="19" t="s">
        <v>92</v>
      </c>
      <c r="C18" s="20" t="s">
        <v>93</v>
      </c>
    </row>
    <row r="19" spans="2:3" ht="8.1" customHeight="1" x14ac:dyDescent="0.25"/>
    <row r="20" spans="2:3" ht="39.950000000000003" customHeight="1" x14ac:dyDescent="0.25">
      <c r="B20" s="19" t="s">
        <v>94</v>
      </c>
      <c r="C20" s="20" t="s">
        <v>95</v>
      </c>
    </row>
    <row r="21" spans="2:3" ht="8.1" customHeight="1" x14ac:dyDescent="0.25"/>
    <row r="22" spans="2:3" ht="39.950000000000003" customHeight="1" x14ac:dyDescent="0.25">
      <c r="B22" s="19" t="s">
        <v>96</v>
      </c>
      <c r="C22" s="20" t="s">
        <v>97</v>
      </c>
    </row>
    <row r="23" spans="2:3" ht="8.1" customHeight="1" x14ac:dyDescent="0.25"/>
    <row r="24" spans="2:3" ht="39.950000000000003" customHeight="1" x14ac:dyDescent="0.25">
      <c r="B24" s="19" t="s">
        <v>98</v>
      </c>
      <c r="C24" s="20" t="s">
        <v>99</v>
      </c>
    </row>
    <row r="25" spans="2:3" ht="8.1" customHeight="1" x14ac:dyDescent="0.25"/>
  </sheetData>
  <sheetProtection password="90E3" sheet="1" formatCells="0" formatColumns="0" formatRows="0"/>
  <mergeCells count="1">
    <mergeCell ref="B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A580C"/>
  </sheetPr>
  <dimension ref="B1:W66"/>
  <sheetViews>
    <sheetView showGridLines="0" tabSelected="1" topLeftCell="A6" zoomScale="90" workbookViewId="0">
      <selection activeCell="G32" sqref="G32"/>
    </sheetView>
  </sheetViews>
  <sheetFormatPr defaultRowHeight="15" x14ac:dyDescent="0.25"/>
  <cols>
    <col min="1" max="1" width="4" customWidth="1"/>
    <col min="2" max="2" width="34" customWidth="1"/>
    <col min="3" max="3" width="16" customWidth="1"/>
    <col min="4" max="4" width="44" customWidth="1"/>
    <col min="5" max="7" width="14" customWidth="1"/>
  </cols>
  <sheetData>
    <row r="1" spans="2:5" ht="51.95" customHeight="1" x14ac:dyDescent="0.25">
      <c r="B1" s="42" t="s">
        <v>100</v>
      </c>
      <c r="C1" s="38"/>
      <c r="D1" s="38"/>
      <c r="E1" s="38"/>
    </row>
    <row r="2" spans="2:5" ht="26.1" customHeight="1" x14ac:dyDescent="0.25">
      <c r="B2" s="47" t="s">
        <v>101</v>
      </c>
      <c r="C2" s="38"/>
      <c r="D2" s="38"/>
      <c r="E2" s="38"/>
    </row>
    <row r="3" spans="2:5" ht="32.1" customHeight="1" x14ac:dyDescent="0.25">
      <c r="B3" s="40" t="s">
        <v>102</v>
      </c>
      <c r="C3" s="38"/>
      <c r="D3" s="38"/>
      <c r="E3" s="38"/>
    </row>
    <row r="4" spans="2:5" ht="32.1" customHeight="1" x14ac:dyDescent="0.25">
      <c r="B4" s="4" t="s">
        <v>103</v>
      </c>
      <c r="C4" s="4" t="s">
        <v>104</v>
      </c>
      <c r="D4" s="4" t="s">
        <v>105</v>
      </c>
      <c r="E4" s="4"/>
    </row>
    <row r="5" spans="2:5" ht="26.1" customHeight="1" x14ac:dyDescent="0.25">
      <c r="B5" s="19" t="s">
        <v>106</v>
      </c>
      <c r="C5" s="21">
        <v>5</v>
      </c>
      <c r="D5" s="22" t="s">
        <v>107</v>
      </c>
    </row>
    <row r="6" spans="2:5" ht="26.1" customHeight="1" x14ac:dyDescent="0.25">
      <c r="B6" s="19" t="s">
        <v>108</v>
      </c>
      <c r="C6" s="21">
        <v>10</v>
      </c>
      <c r="D6" s="22" t="s">
        <v>109</v>
      </c>
    </row>
    <row r="7" spans="2:5" ht="26.1" customHeight="1" x14ac:dyDescent="0.25">
      <c r="B7" s="19" t="s">
        <v>110</v>
      </c>
      <c r="C7" s="21">
        <v>0</v>
      </c>
      <c r="D7" s="22" t="s">
        <v>111</v>
      </c>
    </row>
    <row r="8" spans="2:5" ht="26.1" customHeight="1" x14ac:dyDescent="0.25">
      <c r="B8" s="19" t="s">
        <v>112</v>
      </c>
      <c r="C8" s="21">
        <v>10</v>
      </c>
      <c r="D8" s="22" t="s">
        <v>113</v>
      </c>
    </row>
    <row r="9" spans="2:5" ht="26.1" customHeight="1" x14ac:dyDescent="0.25">
      <c r="B9" s="19" t="s">
        <v>114</v>
      </c>
      <c r="C9" s="21">
        <v>0.5</v>
      </c>
      <c r="D9" s="22" t="s">
        <v>115</v>
      </c>
    </row>
    <row r="10" spans="2:5" ht="26.1" customHeight="1" x14ac:dyDescent="0.25">
      <c r="B10" s="19" t="s">
        <v>116</v>
      </c>
      <c r="C10" s="21">
        <v>1</v>
      </c>
      <c r="D10" s="22" t="s">
        <v>117</v>
      </c>
    </row>
    <row r="11" spans="2:5" ht="26.1" customHeight="1" x14ac:dyDescent="0.25">
      <c r="B11" s="19" t="s">
        <v>118</v>
      </c>
      <c r="C11" s="21">
        <v>0.75</v>
      </c>
      <c r="D11" s="22" t="s">
        <v>119</v>
      </c>
    </row>
    <row r="12" spans="2:5" ht="26.1" customHeight="1" x14ac:dyDescent="0.25">
      <c r="B12" s="19" t="s">
        <v>120</v>
      </c>
      <c r="C12" s="21">
        <v>0.5</v>
      </c>
      <c r="D12" s="22" t="s">
        <v>121</v>
      </c>
    </row>
    <row r="13" spans="2:5" ht="26.1" customHeight="1" x14ac:dyDescent="0.25">
      <c r="B13" s="19" t="s">
        <v>122</v>
      </c>
      <c r="C13" s="21">
        <v>0.1</v>
      </c>
      <c r="D13" s="22" t="s">
        <v>123</v>
      </c>
    </row>
    <row r="14" spans="2:5" ht="26.1" customHeight="1" x14ac:dyDescent="0.25">
      <c r="B14" s="19" t="s">
        <v>124</v>
      </c>
      <c r="C14" s="21">
        <v>7</v>
      </c>
      <c r="D14" s="22" t="s">
        <v>125</v>
      </c>
    </row>
    <row r="15" spans="2:5" ht="26.1" customHeight="1" x14ac:dyDescent="0.25">
      <c r="B15" s="19" t="s">
        <v>126</v>
      </c>
      <c r="C15" s="21">
        <v>13</v>
      </c>
      <c r="D15" s="22" t="s">
        <v>127</v>
      </c>
    </row>
    <row r="16" spans="2:5" ht="26.1" customHeight="1" x14ac:dyDescent="0.25">
      <c r="B16" s="19" t="s">
        <v>128</v>
      </c>
      <c r="C16" s="21">
        <v>3</v>
      </c>
      <c r="D16" s="22" t="s">
        <v>129</v>
      </c>
    </row>
    <row r="20" spans="2:6" ht="32.1" customHeight="1" x14ac:dyDescent="0.25">
      <c r="B20" s="40" t="s">
        <v>130</v>
      </c>
      <c r="C20" s="38"/>
      <c r="D20" s="38"/>
      <c r="E20" s="38"/>
      <c r="F20" s="38"/>
    </row>
    <row r="21" spans="2:6" ht="32.1" customHeight="1" x14ac:dyDescent="0.25">
      <c r="B21" s="4" t="s">
        <v>66</v>
      </c>
      <c r="C21" s="4" t="s">
        <v>131</v>
      </c>
      <c r="D21" s="4" t="s">
        <v>132</v>
      </c>
      <c r="E21" s="4" t="s">
        <v>133</v>
      </c>
      <c r="F21" s="4" t="s">
        <v>134</v>
      </c>
    </row>
    <row r="22" spans="2:6" ht="26.1" customHeight="1" x14ac:dyDescent="0.25">
      <c r="B22" s="7" t="s">
        <v>51</v>
      </c>
      <c r="C22" s="23">
        <v>13</v>
      </c>
      <c r="D22" s="24">
        <f t="shared" ref="D22:D42" si="0">SUM(J22:Z22)</f>
        <v>0</v>
      </c>
      <c r="E22" s="25"/>
      <c r="F22" s="26">
        <f>IF(E22&lt;&gt;"",E22,MIN(SETTINGS!$C$15,MAX(SETTINGS!$C$14,C22+D22)))</f>
        <v>13</v>
      </c>
    </row>
    <row r="23" spans="2:6" ht="26.1" customHeight="1" x14ac:dyDescent="0.25">
      <c r="B23" s="3" t="s">
        <v>57</v>
      </c>
      <c r="C23" s="27">
        <v>13</v>
      </c>
      <c r="D23" s="28">
        <f t="shared" si="0"/>
        <v>0</v>
      </c>
      <c r="E23" s="25"/>
      <c r="F23" s="26">
        <f>IF(E23&lt;&gt;"",E23,MIN(SETTINGS!$C$15,MAX(SETTINGS!$C$14,C23+D23)))</f>
        <v>13</v>
      </c>
    </row>
    <row r="24" spans="2:6" ht="26.1" customHeight="1" x14ac:dyDescent="0.25">
      <c r="B24" s="7" t="s">
        <v>43</v>
      </c>
      <c r="C24" s="23">
        <v>11</v>
      </c>
      <c r="D24" s="24">
        <f t="shared" si="0"/>
        <v>0</v>
      </c>
      <c r="E24" s="25"/>
      <c r="F24" s="26">
        <f>IF(E24&lt;&gt;"",E24,MIN(SETTINGS!$C$15,MAX(SETTINGS!$C$14,C24+D24)))</f>
        <v>11</v>
      </c>
    </row>
    <row r="25" spans="2:6" ht="26.1" customHeight="1" x14ac:dyDescent="0.25">
      <c r="B25" s="3" t="s">
        <v>47</v>
      </c>
      <c r="C25" s="27">
        <v>11</v>
      </c>
      <c r="D25" s="28">
        <f t="shared" si="0"/>
        <v>0</v>
      </c>
      <c r="E25" s="25"/>
      <c r="F25" s="26">
        <f>IF(E25&lt;&gt;"",E25,MIN(SETTINGS!$C$15,MAX(SETTINGS!$C$14,C25+D25)))</f>
        <v>11</v>
      </c>
    </row>
    <row r="26" spans="2:6" ht="26.1" customHeight="1" x14ac:dyDescent="0.25">
      <c r="B26" s="7" t="s">
        <v>40</v>
      </c>
      <c r="C26" s="23">
        <v>10.5</v>
      </c>
      <c r="D26" s="24">
        <f t="shared" si="0"/>
        <v>0</v>
      </c>
      <c r="E26" s="25"/>
      <c r="F26" s="26">
        <f>IF(E26&lt;&gt;"",E26,MIN(SETTINGS!$C$15,MAX(SETTINGS!$C$14,C26+D26)))</f>
        <v>10.5</v>
      </c>
    </row>
    <row r="27" spans="2:6" ht="26.1" customHeight="1" x14ac:dyDescent="0.25">
      <c r="B27" s="3" t="s">
        <v>45</v>
      </c>
      <c r="C27" s="27">
        <v>10.5</v>
      </c>
      <c r="D27" s="28">
        <f t="shared" si="0"/>
        <v>0</v>
      </c>
      <c r="E27" s="25"/>
      <c r="F27" s="26">
        <f>IF(E27&lt;&gt;"",E27,MIN(SETTINGS!$C$15,MAX(SETTINGS!$C$14,C27+D27)))</f>
        <v>10.5</v>
      </c>
    </row>
    <row r="28" spans="2:6" ht="26.1" customHeight="1" x14ac:dyDescent="0.25">
      <c r="B28" s="7" t="s">
        <v>50</v>
      </c>
      <c r="C28" s="23">
        <v>10.5</v>
      </c>
      <c r="D28" s="24">
        <f t="shared" si="0"/>
        <v>0</v>
      </c>
      <c r="E28" s="25"/>
      <c r="F28" s="26">
        <f>IF(E28&lt;&gt;"",E28,MIN(SETTINGS!$C$15,MAX(SETTINGS!$C$14,C28+D28)))</f>
        <v>10.5</v>
      </c>
    </row>
    <row r="29" spans="2:6" ht="26.1" customHeight="1" x14ac:dyDescent="0.25">
      <c r="B29" s="3" t="s">
        <v>42</v>
      </c>
      <c r="C29" s="27">
        <v>10</v>
      </c>
      <c r="D29" s="28">
        <f t="shared" si="0"/>
        <v>0</v>
      </c>
      <c r="E29" s="25"/>
      <c r="F29" s="26">
        <f>IF(E29&lt;&gt;"",E29,MIN(SETTINGS!$C$15,MAX(SETTINGS!$C$14,C29+D29)))</f>
        <v>10</v>
      </c>
    </row>
    <row r="30" spans="2:6" ht="26.1" customHeight="1" x14ac:dyDescent="0.25">
      <c r="B30" s="7" t="s">
        <v>53</v>
      </c>
      <c r="C30" s="23">
        <v>10</v>
      </c>
      <c r="D30" s="24">
        <f t="shared" si="0"/>
        <v>0</v>
      </c>
      <c r="E30" s="25"/>
      <c r="F30" s="26">
        <f>IF(E30&lt;&gt;"",E30,MIN(SETTINGS!$C$15,MAX(SETTINGS!$C$14,C30+D30)))</f>
        <v>10</v>
      </c>
    </row>
    <row r="31" spans="2:6" ht="26.1" customHeight="1" x14ac:dyDescent="0.25">
      <c r="B31" s="3" t="s">
        <v>38</v>
      </c>
      <c r="C31" s="27">
        <v>9.5</v>
      </c>
      <c r="D31" s="28">
        <f t="shared" si="0"/>
        <v>0</v>
      </c>
      <c r="E31" s="25"/>
      <c r="F31" s="26">
        <f>IF(E31&lt;&gt;"",E31,MIN(SETTINGS!$C$15,MAX(SETTINGS!$C$14,C31+D31)))</f>
        <v>9.5</v>
      </c>
    </row>
    <row r="32" spans="2:6" ht="26.1" customHeight="1" x14ac:dyDescent="0.25">
      <c r="B32" s="7" t="s">
        <v>44</v>
      </c>
      <c r="C32" s="23">
        <v>9.5</v>
      </c>
      <c r="D32" s="24">
        <f t="shared" si="0"/>
        <v>0</v>
      </c>
      <c r="E32" s="25"/>
      <c r="F32" s="26">
        <f>IF(E32&lt;&gt;"",E32,MIN(SETTINGS!$C$15,MAX(SETTINGS!$C$14,C32+D32)))</f>
        <v>9.5</v>
      </c>
    </row>
    <row r="33" spans="2:23" ht="26.1" customHeight="1" x14ac:dyDescent="0.25">
      <c r="B33" s="3" t="s">
        <v>55</v>
      </c>
      <c r="C33" s="27">
        <v>9.5</v>
      </c>
      <c r="D33" s="28">
        <f t="shared" si="0"/>
        <v>0</v>
      </c>
      <c r="E33" s="25"/>
      <c r="F33" s="26">
        <f>IF(E33&lt;&gt;"",E33,MIN(SETTINGS!$C$15,MAX(SETTINGS!$C$14,C33+D33)))</f>
        <v>9.5</v>
      </c>
    </row>
    <row r="34" spans="2:23" ht="26.1" customHeight="1" x14ac:dyDescent="0.25">
      <c r="B34" s="7" t="s">
        <v>46</v>
      </c>
      <c r="C34" s="23">
        <v>9</v>
      </c>
      <c r="D34" s="24">
        <f t="shared" si="0"/>
        <v>0</v>
      </c>
      <c r="E34" s="25"/>
      <c r="F34" s="26">
        <f>IF(E34&lt;&gt;"",E34,MIN(SETTINGS!$C$15,MAX(SETTINGS!$C$14,C34+D34)))</f>
        <v>9</v>
      </c>
    </row>
    <row r="35" spans="2:23" ht="26.1" customHeight="1" x14ac:dyDescent="0.25">
      <c r="B35" s="3" t="s">
        <v>52</v>
      </c>
      <c r="C35" s="27">
        <v>8.5</v>
      </c>
      <c r="D35" s="28">
        <f t="shared" si="0"/>
        <v>0</v>
      </c>
      <c r="E35" s="25"/>
      <c r="F35" s="26">
        <f>IF(E35&lt;&gt;"",E35,MIN(SETTINGS!$C$15,MAX(SETTINGS!$C$14,C35+D35)))</f>
        <v>8.5</v>
      </c>
    </row>
    <row r="36" spans="2:23" ht="26.1" customHeight="1" x14ac:dyDescent="0.25">
      <c r="B36" s="7" t="s">
        <v>48</v>
      </c>
      <c r="C36" s="23">
        <v>8</v>
      </c>
      <c r="D36" s="24">
        <f t="shared" si="0"/>
        <v>0</v>
      </c>
      <c r="E36" s="25"/>
      <c r="F36" s="26">
        <f>IF(E36&lt;&gt;"",E36,MIN(SETTINGS!$C$15,MAX(SETTINGS!$C$14,C36+D36)))</f>
        <v>8</v>
      </c>
    </row>
    <row r="37" spans="2:23" ht="26.1" customHeight="1" x14ac:dyDescent="0.25">
      <c r="B37" s="3" t="s">
        <v>49</v>
      </c>
      <c r="C37" s="27">
        <v>8</v>
      </c>
      <c r="D37" s="28">
        <f t="shared" si="0"/>
        <v>0</v>
      </c>
      <c r="E37" s="25"/>
      <c r="F37" s="26">
        <f>IF(E37&lt;&gt;"",E37,MIN(SETTINGS!$C$15,MAX(SETTINGS!$C$14,C37+D37)))</f>
        <v>8</v>
      </c>
    </row>
    <row r="38" spans="2:23" ht="26.1" customHeight="1" x14ac:dyDescent="0.25">
      <c r="B38" s="7" t="s">
        <v>54</v>
      </c>
      <c r="C38" s="23">
        <v>8</v>
      </c>
      <c r="D38" s="24">
        <f t="shared" si="0"/>
        <v>0</v>
      </c>
      <c r="E38" s="25"/>
      <c r="F38" s="26">
        <f>IF(E38&lt;&gt;"",E38,MIN(SETTINGS!$C$15,MAX(SETTINGS!$C$14,C38+D38)))</f>
        <v>8</v>
      </c>
    </row>
    <row r="39" spans="2:23" ht="26.1" customHeight="1" x14ac:dyDescent="0.25">
      <c r="B39" s="3" t="s">
        <v>39</v>
      </c>
      <c r="C39" s="27">
        <v>7.5</v>
      </c>
      <c r="D39" s="28">
        <f t="shared" si="0"/>
        <v>0</v>
      </c>
      <c r="E39" s="25"/>
      <c r="F39" s="26">
        <f>IF(E39&lt;&gt;"",E39,MIN(SETTINGS!$C$15,MAX(SETTINGS!$C$14,C39+D39)))</f>
        <v>7.5</v>
      </c>
    </row>
    <row r="40" spans="2:23" ht="26.1" customHeight="1" x14ac:dyDescent="0.25">
      <c r="B40" s="7" t="s">
        <v>41</v>
      </c>
      <c r="C40" s="23">
        <v>7</v>
      </c>
      <c r="D40" s="24">
        <f t="shared" si="0"/>
        <v>0</v>
      </c>
      <c r="E40" s="25"/>
      <c r="F40" s="26">
        <f>IF(E40&lt;&gt;"",E40,MIN(SETTINGS!$C$15,MAX(SETTINGS!$C$14,C40+D40)))</f>
        <v>7</v>
      </c>
    </row>
    <row r="41" spans="2:23" ht="26.1" customHeight="1" x14ac:dyDescent="0.25">
      <c r="B41" s="3" t="s">
        <v>56</v>
      </c>
      <c r="C41" s="27">
        <v>7</v>
      </c>
      <c r="D41" s="28">
        <f t="shared" si="0"/>
        <v>0</v>
      </c>
      <c r="E41" s="25"/>
      <c r="F41" s="26">
        <f>IF(E41&lt;&gt;"",E41,MIN(SETTINGS!$C$15,MAX(SETTINGS!$C$14,C41+D41)))</f>
        <v>7</v>
      </c>
    </row>
    <row r="42" spans="2:23" ht="26.1" customHeight="1" x14ac:dyDescent="0.25">
      <c r="B42" s="7" t="s">
        <v>58</v>
      </c>
      <c r="C42" s="23">
        <v>7</v>
      </c>
      <c r="D42" s="24">
        <f t="shared" si="0"/>
        <v>0</v>
      </c>
      <c r="E42" s="25"/>
      <c r="F42" s="26">
        <f>IF(E42&lt;&gt;"",E42,MIN(SETTINGS!$C$15,MAX(SETTINGS!$C$14,C42+D42)))</f>
        <v>7</v>
      </c>
    </row>
    <row r="44" spans="2:23" ht="32.1" customHeight="1" x14ac:dyDescent="0.25">
      <c r="B44" s="40" t="s">
        <v>135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</row>
    <row r="45" spans="2:23" ht="32.1" customHeight="1" x14ac:dyDescent="0.25">
      <c r="B45" s="4" t="s">
        <v>66</v>
      </c>
      <c r="C45" s="4" t="s">
        <v>136</v>
      </c>
      <c r="D45" s="4" t="s">
        <v>137</v>
      </c>
      <c r="E45" s="4" t="s">
        <v>138</v>
      </c>
      <c r="F45" s="4" t="s">
        <v>139</v>
      </c>
      <c r="G45" s="4" t="s">
        <v>140</v>
      </c>
      <c r="H45" s="4" t="s">
        <v>141</v>
      </c>
      <c r="I45" s="4" t="s">
        <v>142</v>
      </c>
      <c r="J45" s="4" t="s">
        <v>143</v>
      </c>
      <c r="K45" s="4" t="s">
        <v>144</v>
      </c>
      <c r="L45" s="4" t="s">
        <v>145</v>
      </c>
      <c r="M45" s="4" t="s">
        <v>146</v>
      </c>
      <c r="N45" s="4" t="s">
        <v>147</v>
      </c>
      <c r="O45" s="4" t="s">
        <v>148</v>
      </c>
      <c r="P45" s="4" t="s">
        <v>149</v>
      </c>
      <c r="Q45" s="4" t="s">
        <v>150</v>
      </c>
      <c r="R45" s="4" t="s">
        <v>151</v>
      </c>
      <c r="S45" s="4" t="s">
        <v>152</v>
      </c>
      <c r="T45" s="4" t="s">
        <v>153</v>
      </c>
      <c r="U45" s="4" t="s">
        <v>154</v>
      </c>
      <c r="V45" s="4" t="s">
        <v>155</v>
      </c>
    </row>
    <row r="46" spans="2:23" ht="24" customHeight="1" x14ac:dyDescent="0.25">
      <c r="B46" s="7" t="s">
        <v>51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spans="2:23" ht="24" customHeight="1" x14ac:dyDescent="0.25">
      <c r="B47" s="3" t="s">
        <v>57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</row>
    <row r="48" spans="2:23" ht="24" customHeight="1" x14ac:dyDescent="0.25">
      <c r="B48" s="7" t="s">
        <v>43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spans="2:22" ht="24" customHeight="1" x14ac:dyDescent="0.25">
      <c r="B49" s="3" t="s">
        <v>47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 spans="2:22" ht="24" customHeight="1" x14ac:dyDescent="0.25">
      <c r="B50" s="7" t="s">
        <v>40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spans="2:22" ht="24" customHeight="1" x14ac:dyDescent="0.25">
      <c r="B51" s="3" t="s">
        <v>45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</row>
    <row r="52" spans="2:22" ht="24" customHeight="1" x14ac:dyDescent="0.25">
      <c r="B52" s="7" t="s">
        <v>50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spans="2:22" ht="24" customHeight="1" x14ac:dyDescent="0.25">
      <c r="B53" s="3" t="s">
        <v>42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 spans="2:22" ht="24" customHeight="1" x14ac:dyDescent="0.25">
      <c r="B54" s="7" t="s">
        <v>53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2:22" ht="24" customHeight="1" x14ac:dyDescent="0.25">
      <c r="B55" s="3" t="s">
        <v>38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 spans="2:22" ht="24" customHeight="1" x14ac:dyDescent="0.25">
      <c r="B56" s="7" t="s">
        <v>44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2:22" ht="24" customHeight="1" x14ac:dyDescent="0.25">
      <c r="B57" s="3" t="s">
        <v>55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 spans="2:22" ht="24" customHeight="1" x14ac:dyDescent="0.25">
      <c r="B58" s="7" t="s">
        <v>46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2:22" ht="24" customHeight="1" x14ac:dyDescent="0.25">
      <c r="B59" s="3" t="s">
        <v>52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 spans="2:22" ht="24" customHeight="1" x14ac:dyDescent="0.25">
      <c r="B60" s="7" t="s">
        <v>48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2:22" ht="24" customHeight="1" x14ac:dyDescent="0.25">
      <c r="B61" s="3" t="s">
        <v>49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 spans="2:22" ht="24" customHeight="1" x14ac:dyDescent="0.25">
      <c r="B62" s="7" t="s">
        <v>54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2:22" ht="24" customHeight="1" x14ac:dyDescent="0.25">
      <c r="B63" s="3" t="s">
        <v>39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 spans="2:22" ht="24" customHeight="1" x14ac:dyDescent="0.25">
      <c r="B64" s="7" t="s">
        <v>41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2:22" ht="24" customHeight="1" x14ac:dyDescent="0.25">
      <c r="B65" s="3" t="s">
        <v>56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 spans="2:22" ht="24" customHeight="1" x14ac:dyDescent="0.25">
      <c r="B66" s="7" t="s">
        <v>58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</sheetData>
  <sheetProtection password="90E3" sheet="1" formatCells="0" formatColumns="0" formatRows="0"/>
  <mergeCells count="5">
    <mergeCell ref="B1:E1"/>
    <mergeCell ref="B20:F20"/>
    <mergeCell ref="B3:E3"/>
    <mergeCell ref="B2:E2"/>
    <mergeCell ref="B44:W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4A3B8"/>
  </sheetPr>
  <dimension ref="B1:H22"/>
  <sheetViews>
    <sheetView zoomScale="90" workbookViewId="0"/>
  </sheetViews>
  <sheetFormatPr defaultRowHeight="15" x14ac:dyDescent="0.25"/>
  <sheetData>
    <row r="1" spans="2:8" ht="32.1" customHeight="1" x14ac:dyDescent="0.25">
      <c r="B1" s="4" t="s">
        <v>36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161</v>
      </c>
    </row>
    <row r="2" spans="2:8" ht="26.1" customHeight="1" x14ac:dyDescent="0.25">
      <c r="B2" s="31" t="s">
        <v>38</v>
      </c>
      <c r="C2" s="7">
        <f>'Alexa Amesimeku'!C10</f>
        <v>0</v>
      </c>
      <c r="D2" s="7">
        <f>'Alexa Amesimeku'!C11</f>
        <v>0</v>
      </c>
      <c r="E2" s="7">
        <f>'Alexa Amesimeku'!C12</f>
        <v>0</v>
      </c>
      <c r="F2" s="7">
        <f>'Alexa Amesimeku'!C13</f>
        <v>0</v>
      </c>
      <c r="G2" s="7">
        <f>'Alexa Amesimeku'!C14</f>
        <v>0</v>
      </c>
      <c r="H2" s="7">
        <f>'Alexa Amesimeku'!C5</f>
        <v>0</v>
      </c>
    </row>
    <row r="3" spans="2:8" ht="26.1" customHeight="1" x14ac:dyDescent="0.25">
      <c r="B3" s="31" t="s">
        <v>39</v>
      </c>
      <c r="C3" s="3" t="str">
        <f>'Alfie Foley'!C10</f>
        <v>Ava Swinfen</v>
      </c>
      <c r="D3" s="3" t="str">
        <f>'Alfie Foley'!C11</f>
        <v>David Wu</v>
      </c>
      <c r="E3" s="3" t="str">
        <f>'Alfie Foley'!C12</f>
        <v>Alyza Rai</v>
      </c>
      <c r="F3" s="3" t="str">
        <f>'Alfie Foley'!C13</f>
        <v>Sophie Barker</v>
      </c>
      <c r="G3" s="3" t="str">
        <f>'Alfie Foley'!C14</f>
        <v>Edwin Mayers</v>
      </c>
      <c r="H3" s="3" t="str">
        <f>'Alfie Foley'!C5</f>
        <v>Sophie Barker</v>
      </c>
    </row>
    <row r="4" spans="2:8" ht="26.1" customHeight="1" x14ac:dyDescent="0.25">
      <c r="B4" s="31" t="s">
        <v>40</v>
      </c>
      <c r="C4" s="7">
        <f>'Alyza Rai'!C10</f>
        <v>0</v>
      </c>
      <c r="D4" s="7">
        <f>'Alyza Rai'!C11</f>
        <v>0</v>
      </c>
      <c r="E4" s="7">
        <f>'Alyza Rai'!C12</f>
        <v>0</v>
      </c>
      <c r="F4" s="7">
        <f>'Alyza Rai'!C13</f>
        <v>0</v>
      </c>
      <c r="G4" s="7">
        <f>'Alyza Rai'!C14</f>
        <v>0</v>
      </c>
      <c r="H4" s="7">
        <f>'Alyza Rai'!C5</f>
        <v>0</v>
      </c>
    </row>
    <row r="5" spans="2:8" ht="26.1" customHeight="1" x14ac:dyDescent="0.25">
      <c r="B5" s="31" t="s">
        <v>41</v>
      </c>
      <c r="C5" s="3" t="str">
        <f>'Ava Swinfen'!C10</f>
        <v>Ava Swinfen</v>
      </c>
      <c r="D5" s="3" t="str">
        <f>'Ava Swinfen'!C11</f>
        <v>Melody Zhaeentan</v>
      </c>
      <c r="E5" s="3" t="str">
        <f>'Ava Swinfen'!C12</f>
        <v>Lia Li</v>
      </c>
      <c r="F5" s="3" t="str">
        <f>'Ava Swinfen'!C13</f>
        <v>Chinedu Chile</v>
      </c>
      <c r="G5" s="3" t="str">
        <f>'Ava Swinfen'!C14</f>
        <v>David Wu</v>
      </c>
      <c r="H5" s="3" t="str">
        <f>'Ava Swinfen'!C5</f>
        <v>Lia Li</v>
      </c>
    </row>
    <row r="6" spans="2:8" ht="26.1" customHeight="1" x14ac:dyDescent="0.25">
      <c r="B6" s="31" t="s">
        <v>42</v>
      </c>
      <c r="C6" s="7" t="str">
        <f>'Azlan Husain'!C10</f>
        <v>Emily Warburton</v>
      </c>
      <c r="D6" s="7" t="str">
        <f>'Azlan Husain'!C11</f>
        <v>Chinedu Chile</v>
      </c>
      <c r="E6" s="7" t="str">
        <f>'Azlan Husain'!C12</f>
        <v>Joe Paige</v>
      </c>
      <c r="F6" s="7" t="str">
        <f>'Azlan Husain'!C13</f>
        <v>Alfie Foley</v>
      </c>
      <c r="G6" s="7" t="str">
        <f>'Azlan Husain'!C14</f>
        <v>Edwin Mayers</v>
      </c>
      <c r="H6" s="7" t="str">
        <f>'Azlan Husain'!C5</f>
        <v>Emily Warburton</v>
      </c>
    </row>
    <row r="7" spans="2:8" ht="26.1" customHeight="1" x14ac:dyDescent="0.25">
      <c r="B7" s="31" t="s">
        <v>43</v>
      </c>
      <c r="C7" s="3" t="str">
        <f>'Chinedu Chile'!C10</f>
        <v>Chinedu Chile</v>
      </c>
      <c r="D7" s="3" t="str">
        <f>'Chinedu Chile'!C11</f>
        <v>Alexa Amesimeku</v>
      </c>
      <c r="E7" s="3" t="str">
        <f>'Chinedu Chile'!C12</f>
        <v>David Wu</v>
      </c>
      <c r="F7" s="3" t="str">
        <f>'Chinedu Chile'!C13</f>
        <v>Edwin Mayers</v>
      </c>
      <c r="G7" s="3" t="str">
        <f>'Chinedu Chile'!C14</f>
        <v>Azlan Husain</v>
      </c>
      <c r="H7" s="3" t="str">
        <f>'Chinedu Chile'!C5</f>
        <v>Chinedu Chile</v>
      </c>
    </row>
    <row r="8" spans="2:8" ht="26.1" customHeight="1" x14ac:dyDescent="0.25">
      <c r="B8" s="31" t="s">
        <v>44</v>
      </c>
      <c r="C8" s="7" t="str">
        <f>'Daniel Liu'!C10</f>
        <v>Alyza Rai</v>
      </c>
      <c r="D8" s="7" t="str">
        <f>'Daniel Liu'!C11</f>
        <v>Ava Swinfen</v>
      </c>
      <c r="E8" s="7" t="str">
        <f>'Daniel Liu'!C12</f>
        <v>Emily Warburton</v>
      </c>
      <c r="F8" s="7" t="str">
        <f>'Daniel Liu'!C13</f>
        <v>David Wu</v>
      </c>
      <c r="G8" s="7" t="str">
        <f>'Daniel Liu'!C14</f>
        <v>Chinedu Chile</v>
      </c>
      <c r="H8" s="7" t="str">
        <f>'Daniel Liu'!C5</f>
        <v>Emily Warburton</v>
      </c>
    </row>
    <row r="9" spans="2:8" ht="26.1" customHeight="1" x14ac:dyDescent="0.25">
      <c r="B9" s="31" t="s">
        <v>45</v>
      </c>
      <c r="C9" s="3" t="str">
        <f>'David Wu'!C10</f>
        <v>Azlan Husain</v>
      </c>
      <c r="D9" s="3" t="str">
        <f>'David Wu'!C11</f>
        <v>Rebecca Seymour</v>
      </c>
      <c r="E9" s="3" t="str">
        <f>'David Wu'!C12</f>
        <v>Edwin Mayers</v>
      </c>
      <c r="F9" s="3" t="str">
        <f>'David Wu'!C13</f>
        <v>Chinedu Chile</v>
      </c>
      <c r="G9" s="3" t="str">
        <f>'David Wu'!C14</f>
        <v>Joe Paige</v>
      </c>
      <c r="H9" s="3" t="str">
        <f>'David Wu'!C5</f>
        <v>Edwin Mayers</v>
      </c>
    </row>
    <row r="10" spans="2:8" ht="26.1" customHeight="1" x14ac:dyDescent="0.25">
      <c r="B10" s="31" t="s">
        <v>46</v>
      </c>
      <c r="C10" s="7" t="str">
        <f>'Edwin Mayers'!C10</f>
        <v>Sophie Barker</v>
      </c>
      <c r="D10" s="7" t="str">
        <f>'Edwin Mayers'!C11</f>
        <v>Esme Beston</v>
      </c>
      <c r="E10" s="7" t="str">
        <f>'Edwin Mayers'!C12</f>
        <v>Edwin Mayers</v>
      </c>
      <c r="F10" s="7" t="str">
        <f>'Edwin Mayers'!C13</f>
        <v>Emily Warburton</v>
      </c>
      <c r="G10" s="7" t="str">
        <f>'Edwin Mayers'!C14</f>
        <v>Ava Swinfen</v>
      </c>
      <c r="H10" s="7" t="str">
        <f>'Edwin Mayers'!C5</f>
        <v>Emily Warburton</v>
      </c>
    </row>
    <row r="11" spans="2:8" ht="26.1" customHeight="1" x14ac:dyDescent="0.25">
      <c r="B11" s="31" t="s">
        <v>47</v>
      </c>
      <c r="C11" s="3">
        <f>'Emily Warburton'!C10</f>
        <v>0</v>
      </c>
      <c r="D11" s="3">
        <f>'Emily Warburton'!C11</f>
        <v>0</v>
      </c>
      <c r="E11" s="3">
        <f>'Emily Warburton'!C12</f>
        <v>0</v>
      </c>
      <c r="F11" s="3">
        <f>'Emily Warburton'!C13</f>
        <v>0</v>
      </c>
      <c r="G11" s="3">
        <f>'Emily Warburton'!C14</f>
        <v>0</v>
      </c>
      <c r="H11" s="3">
        <f>'Emily Warburton'!C5</f>
        <v>0</v>
      </c>
    </row>
    <row r="12" spans="2:8" ht="26.1" customHeight="1" x14ac:dyDescent="0.25">
      <c r="B12" s="31" t="s">
        <v>48</v>
      </c>
      <c r="C12" s="7">
        <f>'Esme Beston'!C10</f>
        <v>0</v>
      </c>
      <c r="D12" s="7">
        <f>'Esme Beston'!C11</f>
        <v>0</v>
      </c>
      <c r="E12" s="7">
        <f>'Esme Beston'!C12</f>
        <v>0</v>
      </c>
      <c r="F12" s="7">
        <f>'Esme Beston'!C13</f>
        <v>0</v>
      </c>
      <c r="G12" s="7">
        <f>'Esme Beston'!C14</f>
        <v>0</v>
      </c>
      <c r="H12" s="7">
        <f>'Esme Beston'!C5</f>
        <v>0</v>
      </c>
    </row>
    <row r="13" spans="2:8" ht="26.1" customHeight="1" x14ac:dyDescent="0.25">
      <c r="B13" s="31" t="s">
        <v>49</v>
      </c>
      <c r="C13" s="3">
        <f>'Iona Smith'!C10</f>
        <v>0</v>
      </c>
      <c r="D13" s="3">
        <f>'Iona Smith'!C11</f>
        <v>0</v>
      </c>
      <c r="E13" s="3">
        <f>'Iona Smith'!C12</f>
        <v>0</v>
      </c>
      <c r="F13" s="3">
        <f>'Iona Smith'!C13</f>
        <v>0</v>
      </c>
      <c r="G13" s="3">
        <f>'Iona Smith'!C14</f>
        <v>0</v>
      </c>
      <c r="H13" s="3">
        <f>'Iona Smith'!C5</f>
        <v>0</v>
      </c>
    </row>
    <row r="14" spans="2:8" ht="26.1" customHeight="1" x14ac:dyDescent="0.25">
      <c r="B14" s="31" t="s">
        <v>50</v>
      </c>
      <c r="C14" s="7" t="str">
        <f>'Joe Paige'!C10</f>
        <v>Chinedu Chile</v>
      </c>
      <c r="D14" s="7" t="str">
        <f>'Joe Paige'!C11</f>
        <v>Joe Paige</v>
      </c>
      <c r="E14" s="7" t="str">
        <f>'Joe Paige'!C12</f>
        <v>Alfie Foley</v>
      </c>
      <c r="F14" s="7" t="str">
        <f>'Joe Paige'!C13</f>
        <v>Lia Li</v>
      </c>
      <c r="G14" s="7" t="str">
        <f>'Joe Paige'!C14</f>
        <v>Oscar Day-Duran</v>
      </c>
      <c r="H14" s="7" t="str">
        <f>'Joe Paige'!C5</f>
        <v>Chinedu Chile</v>
      </c>
    </row>
    <row r="15" spans="2:8" ht="26.1" customHeight="1" x14ac:dyDescent="0.25">
      <c r="B15" s="31" t="s">
        <v>51</v>
      </c>
      <c r="C15" s="3">
        <f>'Lia Li'!C10</f>
        <v>0</v>
      </c>
      <c r="D15" s="3">
        <f>'Lia Li'!C11</f>
        <v>0</v>
      </c>
      <c r="E15" s="3">
        <f>'Lia Li'!C12</f>
        <v>0</v>
      </c>
      <c r="F15" s="3">
        <f>'Lia Li'!C13</f>
        <v>0</v>
      </c>
      <c r="G15" s="3">
        <f>'Lia Li'!C14</f>
        <v>0</v>
      </c>
      <c r="H15" s="3">
        <f>'Lia Li'!C5</f>
        <v>0</v>
      </c>
    </row>
    <row r="16" spans="2:8" ht="26.1" customHeight="1" x14ac:dyDescent="0.25">
      <c r="B16" s="31" t="s">
        <v>52</v>
      </c>
      <c r="C16" s="7" t="str">
        <f>'Melody Zhaeentan'!C10</f>
        <v>Lia Li</v>
      </c>
      <c r="D16" s="7" t="str">
        <f>'Melody Zhaeentan'!C11</f>
        <v>Edwin Mayers</v>
      </c>
      <c r="E16" s="7" t="str">
        <f>'Melody Zhaeentan'!C12</f>
        <v>Rebecca Seymour</v>
      </c>
      <c r="F16" s="7" t="str">
        <f>'Melody Zhaeentan'!C13</f>
        <v>Joe Paige</v>
      </c>
      <c r="G16" s="7" t="str">
        <f>'Melody Zhaeentan'!C14</f>
        <v>Xander Meijer</v>
      </c>
      <c r="H16" s="7" t="str">
        <f>'Melody Zhaeentan'!C5</f>
        <v>Lia Li</v>
      </c>
    </row>
    <row r="17" spans="2:8" ht="26.1" customHeight="1" x14ac:dyDescent="0.25">
      <c r="B17" s="31" t="s">
        <v>53</v>
      </c>
      <c r="C17" s="3">
        <f>'Nina De Saram'!C10</f>
        <v>0</v>
      </c>
      <c r="D17" s="3">
        <f>'Nina De Saram'!C11</f>
        <v>0</v>
      </c>
      <c r="E17" s="3">
        <f>'Nina De Saram'!C12</f>
        <v>0</v>
      </c>
      <c r="F17" s="3">
        <f>'Nina De Saram'!C13</f>
        <v>0</v>
      </c>
      <c r="G17" s="3">
        <f>'Nina De Saram'!C14</f>
        <v>0</v>
      </c>
      <c r="H17" s="3">
        <f>'Nina De Saram'!C5</f>
        <v>0</v>
      </c>
    </row>
    <row r="18" spans="2:8" ht="26.1" customHeight="1" x14ac:dyDescent="0.25">
      <c r="B18" s="31" t="s">
        <v>54</v>
      </c>
      <c r="C18" s="7" t="str">
        <f>'Oscar Day-Duran'!C10</f>
        <v>Oscar Day-Duran</v>
      </c>
      <c r="D18" s="7" t="str">
        <f>'Oscar Day-Duran'!C11</f>
        <v>Chinedu Chile</v>
      </c>
      <c r="E18" s="7" t="str">
        <f>'Oscar Day-Duran'!C12</f>
        <v>Nina De Saram</v>
      </c>
      <c r="F18" s="7" t="str">
        <f>'Oscar Day-Duran'!C13</f>
        <v>David Wu</v>
      </c>
      <c r="G18" s="7" t="str">
        <f>'Oscar Day-Duran'!C14</f>
        <v>Joe Paige</v>
      </c>
      <c r="H18" s="7" t="str">
        <f>'Oscar Day-Duran'!C5</f>
        <v>Joe Paige</v>
      </c>
    </row>
    <row r="19" spans="2:8" ht="26.1" customHeight="1" x14ac:dyDescent="0.25">
      <c r="B19" s="31" t="s">
        <v>55</v>
      </c>
      <c r="C19" s="3">
        <f>'Rebecca Seymour'!C10</f>
        <v>0</v>
      </c>
      <c r="D19" s="3">
        <f>'Rebecca Seymour'!C11</f>
        <v>0</v>
      </c>
      <c r="E19" s="3">
        <f>'Rebecca Seymour'!C12</f>
        <v>0</v>
      </c>
      <c r="F19" s="3">
        <f>'Rebecca Seymour'!C13</f>
        <v>0</v>
      </c>
      <c r="G19" s="3">
        <f>'Rebecca Seymour'!C14</f>
        <v>0</v>
      </c>
      <c r="H19" s="3">
        <f>'Rebecca Seymour'!C5</f>
        <v>0</v>
      </c>
    </row>
    <row r="20" spans="2:8" ht="26.1" customHeight="1" x14ac:dyDescent="0.25">
      <c r="B20" s="31" t="s">
        <v>56</v>
      </c>
      <c r="C20" s="7" t="str">
        <f>'Rory Bowman'!C10</f>
        <v>David Wu</v>
      </c>
      <c r="D20" s="7" t="str">
        <f>'Rory Bowman'!C11</f>
        <v>Ava Swinfen</v>
      </c>
      <c r="E20" s="7" t="str">
        <f>'Rory Bowman'!C12</f>
        <v>Alyza Rai</v>
      </c>
      <c r="F20" s="7" t="str">
        <f>'Rory Bowman'!C13</f>
        <v>Edwin Mayers</v>
      </c>
      <c r="G20" s="7" t="str">
        <f>'Rory Bowman'!C14</f>
        <v>Lia Li</v>
      </c>
      <c r="H20" s="7" t="str">
        <f>'Rory Bowman'!C5</f>
        <v>Lia Li</v>
      </c>
    </row>
    <row r="21" spans="2:8" ht="26.1" customHeight="1" x14ac:dyDescent="0.25">
      <c r="B21" s="31" t="s">
        <v>57</v>
      </c>
      <c r="C21" s="3">
        <f>'Sophie Barker'!C10</f>
        <v>0</v>
      </c>
      <c r="D21" s="3">
        <f>'Sophie Barker'!C11</f>
        <v>0</v>
      </c>
      <c r="E21" s="3">
        <f>'Sophie Barker'!C12</f>
        <v>0</v>
      </c>
      <c r="F21" s="3">
        <f>'Sophie Barker'!C13</f>
        <v>0</v>
      </c>
      <c r="G21" s="3">
        <f>'Sophie Barker'!C14</f>
        <v>0</v>
      </c>
      <c r="H21" s="3">
        <f>'Sophie Barker'!C5</f>
        <v>0</v>
      </c>
    </row>
    <row r="22" spans="2:8" ht="26.1" customHeight="1" x14ac:dyDescent="0.25">
      <c r="B22" s="31" t="s">
        <v>58</v>
      </c>
      <c r="C22" s="7" t="str">
        <f>'Xander Meijer'!C10</f>
        <v>Lia Li</v>
      </c>
      <c r="D22" s="7" t="str">
        <f>'Xander Meijer'!C11</f>
        <v>David Wu</v>
      </c>
      <c r="E22" s="7" t="str">
        <f>'Xander Meijer'!C12</f>
        <v>Ava Swinfen</v>
      </c>
      <c r="F22" s="7" t="str">
        <f>'Xander Meijer'!C13</f>
        <v>Joe Paige</v>
      </c>
      <c r="G22" s="7" t="str">
        <f>'Xander Meijer'!C14</f>
        <v>Melody Zhaeentan</v>
      </c>
      <c r="H22" s="7" t="str">
        <f>'Xander Meijer'!C5</f>
        <v>Lia Li</v>
      </c>
    </row>
  </sheetData>
  <sheetProtection password="90E3" sheet="1" formatCells="0" formatColumns="0" formatRows="0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4A3B8"/>
  </sheetPr>
  <dimension ref="B1:V22"/>
  <sheetViews>
    <sheetView zoomScale="90" workbookViewId="0"/>
  </sheetViews>
  <sheetFormatPr defaultRowHeight="15" x14ac:dyDescent="0.25"/>
  <sheetData>
    <row r="1" spans="2:22" ht="32.1" customHeight="1" x14ac:dyDescent="0.25">
      <c r="B1" s="4" t="s">
        <v>36</v>
      </c>
      <c r="C1" s="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  <c r="J1" s="4" t="s">
        <v>143</v>
      </c>
      <c r="K1" s="4" t="s">
        <v>144</v>
      </c>
      <c r="L1" s="4" t="s">
        <v>145</v>
      </c>
      <c r="M1" s="4" t="s">
        <v>146</v>
      </c>
      <c r="N1" s="4" t="s">
        <v>147</v>
      </c>
      <c r="O1" s="4" t="s">
        <v>148</v>
      </c>
      <c r="P1" s="4" t="s">
        <v>149</v>
      </c>
      <c r="Q1" s="4" t="s">
        <v>150</v>
      </c>
      <c r="R1" s="4" t="s">
        <v>151</v>
      </c>
      <c r="S1" s="4" t="s">
        <v>152</v>
      </c>
      <c r="T1" s="4" t="s">
        <v>153</v>
      </c>
      <c r="U1" s="4" t="s">
        <v>154</v>
      </c>
      <c r="V1" s="4" t="s">
        <v>155</v>
      </c>
    </row>
    <row r="2" spans="2:22" ht="26.1" customHeight="1" x14ac:dyDescent="0.25">
      <c r="B2" s="31" t="s">
        <v>38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2:22" ht="26.1" customHeight="1" x14ac:dyDescent="0.25">
      <c r="B3" s="31" t="s">
        <v>39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ht="26.1" customHeight="1" x14ac:dyDescent="0.25">
      <c r="B4" s="31" t="s">
        <v>40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2:22" ht="26.1" customHeight="1" x14ac:dyDescent="0.25">
      <c r="B5" s="31" t="s">
        <v>41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2:22" ht="26.1" customHeight="1" x14ac:dyDescent="0.25">
      <c r="B6" s="31" t="s">
        <v>42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spans="2:22" ht="26.1" customHeight="1" x14ac:dyDescent="0.25">
      <c r="B7" s="31" t="s">
        <v>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2:22" ht="26.1" customHeight="1" x14ac:dyDescent="0.25">
      <c r="B8" s="31" t="s">
        <v>44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</row>
    <row r="9" spans="2:22" ht="26.1" customHeight="1" x14ac:dyDescent="0.25">
      <c r="B9" s="31" t="s">
        <v>45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2:22" ht="26.1" customHeight="1" x14ac:dyDescent="0.25">
      <c r="B10" s="31" t="s">
        <v>46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spans="2:22" ht="26.1" customHeight="1" x14ac:dyDescent="0.25">
      <c r="B11" s="31" t="s">
        <v>47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2:22" ht="26.1" customHeight="1" x14ac:dyDescent="0.25">
      <c r="B12" s="31" t="s">
        <v>48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spans="2:22" ht="26.1" customHeight="1" x14ac:dyDescent="0.25">
      <c r="B13" s="31" t="s">
        <v>49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2:22" ht="26.1" customHeight="1" x14ac:dyDescent="0.25">
      <c r="B14" s="31" t="s">
        <v>50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</row>
    <row r="15" spans="2:22" ht="26.1" customHeight="1" x14ac:dyDescent="0.25">
      <c r="B15" s="31" t="s">
        <v>51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2:22" ht="26.1" customHeight="1" x14ac:dyDescent="0.25">
      <c r="B16" s="31" t="s">
        <v>52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  <row r="17" spans="2:22" ht="26.1" customHeight="1" x14ac:dyDescent="0.25">
      <c r="B17" s="31" t="s">
        <v>53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2:22" ht="26.1" customHeight="1" x14ac:dyDescent="0.25">
      <c r="B18" s="31" t="s">
        <v>54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</row>
    <row r="19" spans="2:22" ht="26.1" customHeight="1" x14ac:dyDescent="0.25">
      <c r="B19" s="31" t="s">
        <v>55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2:22" ht="26.1" customHeight="1" x14ac:dyDescent="0.25">
      <c r="B20" s="31" t="s">
        <v>56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</row>
    <row r="21" spans="2:22" ht="26.1" customHeight="1" x14ac:dyDescent="0.25">
      <c r="B21" s="31" t="s">
        <v>57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2" ht="26.1" customHeight="1" x14ac:dyDescent="0.25">
      <c r="B22" s="31" t="s">
        <v>58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</row>
  </sheetData>
  <sheetProtection password="90E3" sheet="1" formatCells="0" formatColumns="0" formatRows="0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4748B"/>
  </sheetPr>
  <dimension ref="A1:V22"/>
  <sheetViews>
    <sheetView topLeftCell="G1" zoomScale="90" workbookViewId="0">
      <selection activeCell="V28" sqref="V28"/>
    </sheetView>
  </sheetViews>
  <sheetFormatPr defaultRowHeight="15" x14ac:dyDescent="0.25"/>
  <cols>
    <col min="21" max="21" width="26.7109375" customWidth="1"/>
    <col min="22" max="22" width="22.42578125" customWidth="1"/>
  </cols>
  <sheetData>
    <row r="1" spans="1:22" x14ac:dyDescent="0.25">
      <c r="A1" t="s">
        <v>66</v>
      </c>
      <c r="B1" t="s">
        <v>131</v>
      </c>
      <c r="C1" t="s">
        <v>162</v>
      </c>
      <c r="D1" t="s">
        <v>163</v>
      </c>
      <c r="K1" t="s">
        <v>36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164</v>
      </c>
      <c r="S1" t="s">
        <v>165</v>
      </c>
      <c r="T1" t="s">
        <v>166</v>
      </c>
      <c r="U1" t="s">
        <v>37</v>
      </c>
      <c r="V1" t="s">
        <v>196</v>
      </c>
    </row>
    <row r="2" spans="1:22" x14ac:dyDescent="0.25">
      <c r="A2" t="s">
        <v>51</v>
      </c>
      <c r="B2">
        <v>13</v>
      </c>
      <c r="C2">
        <f>SETTINGS!F22</f>
        <v>13</v>
      </c>
      <c r="D2">
        <f>IFERROR(IF(INDEX('TEST RESULTS'!$C$5:$C$25,MATCH(A2,'TEST RESULTS'!$B$5:$B$25,0))="",0,MAX(SETTINGS!$C$7,MIN(SETTINGS!$C$8,SETTINGS!$C$5+ROUNDDOWN((INDEX('TEST RESULTS'!$C$5:$C$25,MATCH(A2,'TEST RESULTS'!$B$5:$B$25,0))-AVERAGE('TEST RESULTS'!$C$5:$C$25))/MAX((MAX('TEST RESULTS'!$C$5:$C$25)-MIN('TEST RESULTS'!$C$5:$C$25))/SETTINGS!$C$6,0.1),0)))),0)</f>
        <v>5</v>
      </c>
      <c r="K2" t="s">
        <v>38</v>
      </c>
      <c r="L2">
        <f>'Alexa Amesimeku'!C10</f>
        <v>0</v>
      </c>
      <c r="M2">
        <f>'Alexa Amesimeku'!C11</f>
        <v>0</v>
      </c>
      <c r="N2">
        <f>'Alexa Amesimeku'!C12</f>
        <v>0</v>
      </c>
      <c r="O2">
        <f>'Alexa Amesimeku'!C13</f>
        <v>0</v>
      </c>
      <c r="P2">
        <f>'Alexa Amesimeku'!C14</f>
        <v>0</v>
      </c>
      <c r="Q2">
        <f>'Alexa Amesimeku'!C5</f>
        <v>0</v>
      </c>
      <c r="R2">
        <f>'Alexa Amesimeku'!C17</f>
        <v>0</v>
      </c>
      <c r="S2">
        <f>'Alexa Amesimeku'!C18</f>
        <v>50</v>
      </c>
      <c r="T2">
        <f t="shared" ref="T2:T22" si="0">IF($U2="VALID TEAM",SUMPRODUCT(SUMIF($A$2:$A$22,L2:P2,$D$2:$D$22))+SUMIF($A$2:$A$22,Q2,$D$2:$D$22),0)</f>
        <v>0</v>
      </c>
      <c r="U2" t="str">
        <f>'Alexa Amesimeku'!C20</f>
        <v>LESS THAN 5 PLAYERS</v>
      </c>
      <c r="V2">
        <f>T2+ROW()/10000</f>
        <v>2.0000000000000001E-4</v>
      </c>
    </row>
    <row r="3" spans="1:22" x14ac:dyDescent="0.25">
      <c r="A3" t="s">
        <v>57</v>
      </c>
      <c r="B3">
        <v>13</v>
      </c>
      <c r="C3">
        <f>SETTINGS!F23</f>
        <v>13</v>
      </c>
      <c r="D3">
        <f>IFERROR(IF(INDEX('TEST RESULTS'!$C$5:$C$25,MATCH(A3,'TEST RESULTS'!$B$5:$B$25,0))="",0,MAX(SETTINGS!$C$7,MIN(SETTINGS!$C$8,SETTINGS!$C$5+ROUNDDOWN((INDEX('TEST RESULTS'!$C$5:$C$25,MATCH(A3,'TEST RESULTS'!$B$5:$B$25,0))-AVERAGE('TEST RESULTS'!$C$5:$C$25))/MAX((MAX('TEST RESULTS'!$C$5:$C$25)-MIN('TEST RESULTS'!$C$5:$C$25))/SETTINGS!$C$6,0.1),0)))),0)</f>
        <v>9</v>
      </c>
      <c r="K3" t="s">
        <v>39</v>
      </c>
      <c r="L3" t="str">
        <f>'Alfie Foley'!C10</f>
        <v>Ava Swinfen</v>
      </c>
      <c r="M3" t="str">
        <f>'Alfie Foley'!C11</f>
        <v>David Wu</v>
      </c>
      <c r="N3" t="str">
        <f>'Alfie Foley'!C12</f>
        <v>Alyza Rai</v>
      </c>
      <c r="O3" t="str">
        <f>'Alfie Foley'!C13</f>
        <v>Sophie Barker</v>
      </c>
      <c r="P3" t="str">
        <f>'Alfie Foley'!C14</f>
        <v>Edwin Mayers</v>
      </c>
      <c r="Q3" t="str">
        <f>'Alfie Foley'!C5</f>
        <v>Sophie Barker</v>
      </c>
      <c r="R3">
        <f>'Alfie Foley'!C17</f>
        <v>50</v>
      </c>
      <c r="S3">
        <f>'Alfie Foley'!C18</f>
        <v>0</v>
      </c>
      <c r="T3">
        <f t="shared" si="0"/>
        <v>31</v>
      </c>
      <c r="U3" t="str">
        <f>'Alfie Foley'!C20</f>
        <v>VALID TEAM</v>
      </c>
      <c r="V3">
        <f t="shared" ref="V3:V22" si="1">T3+ROW()/10000</f>
        <v>31.000299999999999</v>
      </c>
    </row>
    <row r="4" spans="1:22" x14ac:dyDescent="0.25">
      <c r="A4" t="s">
        <v>43</v>
      </c>
      <c r="B4">
        <v>11</v>
      </c>
      <c r="C4">
        <f>SETTINGS!F24</f>
        <v>11</v>
      </c>
      <c r="D4">
        <f>IFERROR(IF(INDEX('TEST RESULTS'!$C$5:$C$25,MATCH(A4,'TEST RESULTS'!$B$5:$B$25,0))="",0,MAX(SETTINGS!$C$7,MIN(SETTINGS!$C$8,SETTINGS!$C$5+ROUNDDOWN((INDEX('TEST RESULTS'!$C$5:$C$25,MATCH(A4,'TEST RESULTS'!$B$5:$B$25,0))-AVERAGE('TEST RESULTS'!$C$5:$C$25))/MAX((MAX('TEST RESULTS'!$C$5:$C$25)-MIN('TEST RESULTS'!$C$5:$C$25))/SETTINGS!$C$6,0.1),0)))),0)</f>
        <v>5</v>
      </c>
      <c r="K4" t="s">
        <v>40</v>
      </c>
      <c r="L4">
        <f>'Alyza Rai'!C10</f>
        <v>0</v>
      </c>
      <c r="M4">
        <f>'Alyza Rai'!C11</f>
        <v>0</v>
      </c>
      <c r="N4">
        <f>'Alyza Rai'!C12</f>
        <v>0</v>
      </c>
      <c r="O4">
        <f>'Alyza Rai'!C13</f>
        <v>0</v>
      </c>
      <c r="P4">
        <f>'Alyza Rai'!C14</f>
        <v>0</v>
      </c>
      <c r="Q4">
        <f>'Alyza Rai'!C5</f>
        <v>0</v>
      </c>
      <c r="R4">
        <f>'Alyza Rai'!C17</f>
        <v>0</v>
      </c>
      <c r="S4">
        <f>'Alyza Rai'!C18</f>
        <v>50</v>
      </c>
      <c r="T4">
        <f t="shared" si="0"/>
        <v>0</v>
      </c>
      <c r="U4" t="str">
        <f>'Alyza Rai'!C20</f>
        <v>LESS THAN 5 PLAYERS</v>
      </c>
      <c r="V4">
        <f t="shared" si="1"/>
        <v>4.0000000000000002E-4</v>
      </c>
    </row>
    <row r="5" spans="1:22" x14ac:dyDescent="0.25">
      <c r="A5" t="s">
        <v>47</v>
      </c>
      <c r="B5">
        <v>11</v>
      </c>
      <c r="C5">
        <f>SETTINGS!F25</f>
        <v>11</v>
      </c>
      <c r="D5">
        <f>IFERROR(IF(INDEX('TEST RESULTS'!$C$5:$C$25,MATCH(A5,'TEST RESULTS'!$B$5:$B$25,0))="",0,MAX(SETTINGS!$C$7,MIN(SETTINGS!$C$8,SETTINGS!$C$5+ROUNDDOWN((INDEX('TEST RESULTS'!$C$5:$C$25,MATCH(A5,'TEST RESULTS'!$B$5:$B$25,0))-AVERAGE('TEST RESULTS'!$C$5:$C$25))/MAX((MAX('TEST RESULTS'!$C$5:$C$25)-MIN('TEST RESULTS'!$C$5:$C$25))/SETTINGS!$C$6,0.1),0)))),0)</f>
        <v>9</v>
      </c>
      <c r="K5" t="s">
        <v>41</v>
      </c>
      <c r="L5" t="str">
        <f>'Ava Swinfen'!C10</f>
        <v>Ava Swinfen</v>
      </c>
      <c r="M5" t="str">
        <f>'Ava Swinfen'!C11</f>
        <v>Melody Zhaeentan</v>
      </c>
      <c r="N5" t="str">
        <f>'Ava Swinfen'!C12</f>
        <v>Lia Li</v>
      </c>
      <c r="O5" t="str">
        <f>'Ava Swinfen'!C13</f>
        <v>Chinedu Chile</v>
      </c>
      <c r="P5" t="str">
        <f>'Ava Swinfen'!C14</f>
        <v>David Wu</v>
      </c>
      <c r="Q5" t="str">
        <f>'Ava Swinfen'!C5</f>
        <v>Lia Li</v>
      </c>
      <c r="R5">
        <f>'Ava Swinfen'!C17</f>
        <v>50</v>
      </c>
      <c r="S5">
        <f>'Ava Swinfen'!C18</f>
        <v>0</v>
      </c>
      <c r="T5">
        <f t="shared" si="0"/>
        <v>29</v>
      </c>
      <c r="U5" t="str">
        <f>'Ava Swinfen'!C20</f>
        <v>VALID TEAM</v>
      </c>
      <c r="V5">
        <f t="shared" si="1"/>
        <v>29.000499999999999</v>
      </c>
    </row>
    <row r="6" spans="1:22" x14ac:dyDescent="0.25">
      <c r="A6" t="s">
        <v>40</v>
      </c>
      <c r="B6">
        <v>10.5</v>
      </c>
      <c r="C6">
        <f>SETTINGS!F26</f>
        <v>10.5</v>
      </c>
      <c r="D6">
        <f>IFERROR(IF(INDEX('TEST RESULTS'!$C$5:$C$25,MATCH(A6,'TEST RESULTS'!$B$5:$B$25,0))="",0,MAX(SETTINGS!$C$7,MIN(SETTINGS!$C$8,SETTINGS!$C$5+ROUNDDOWN((INDEX('TEST RESULTS'!$C$5:$C$25,MATCH(A6,'TEST RESULTS'!$B$5:$B$25,0))-AVERAGE('TEST RESULTS'!$C$5:$C$25))/MAX((MAX('TEST RESULTS'!$C$5:$C$25)-MIN('TEST RESULTS'!$C$5:$C$25))/SETTINGS!$C$6,0.1),0)))),0)</f>
        <v>6</v>
      </c>
      <c r="K6" t="s">
        <v>42</v>
      </c>
      <c r="L6" t="str">
        <f>'Azlan Husain'!C10</f>
        <v>Emily Warburton</v>
      </c>
      <c r="M6" t="str">
        <f>'Azlan Husain'!C11</f>
        <v>Chinedu Chile</v>
      </c>
      <c r="N6" t="str">
        <f>'Azlan Husain'!C12</f>
        <v>Joe Paige</v>
      </c>
      <c r="O6" t="str">
        <f>'Azlan Husain'!C13</f>
        <v>Alfie Foley</v>
      </c>
      <c r="P6" t="str">
        <f>'Azlan Husain'!C14</f>
        <v>Edwin Mayers</v>
      </c>
      <c r="Q6" t="str">
        <f>'Azlan Husain'!C5</f>
        <v>Emily Warburton</v>
      </c>
      <c r="R6">
        <f>'Azlan Husain'!C17</f>
        <v>49</v>
      </c>
      <c r="S6">
        <f>'Azlan Husain'!C18</f>
        <v>1</v>
      </c>
      <c r="T6">
        <f t="shared" si="0"/>
        <v>23</v>
      </c>
      <c r="U6" t="str">
        <f>'Azlan Husain'!C20</f>
        <v>VALID TEAM</v>
      </c>
      <c r="V6">
        <f t="shared" si="1"/>
        <v>23.000599999999999</v>
      </c>
    </row>
    <row r="7" spans="1:22" x14ac:dyDescent="0.25">
      <c r="A7" t="s">
        <v>45</v>
      </c>
      <c r="B7">
        <v>10.5</v>
      </c>
      <c r="C7">
        <f>SETTINGS!F27</f>
        <v>10.5</v>
      </c>
      <c r="D7">
        <f>IFERROR(IF(INDEX('TEST RESULTS'!$C$5:$C$25,MATCH(A7,'TEST RESULTS'!$B$5:$B$25,0))="",0,MAX(SETTINGS!$C$7,MIN(SETTINGS!$C$8,SETTINGS!$C$5+ROUNDDOWN((INDEX('TEST RESULTS'!$C$5:$C$25,MATCH(A7,'TEST RESULTS'!$B$5:$B$25,0))-AVERAGE('TEST RESULTS'!$C$5:$C$25))/MAX((MAX('TEST RESULTS'!$C$5:$C$25)-MIN('TEST RESULTS'!$C$5:$C$25))/SETTINGS!$C$6,0.1),0)))),0)</f>
        <v>5</v>
      </c>
      <c r="K7" t="s">
        <v>43</v>
      </c>
      <c r="L7" t="str">
        <f>'Chinedu Chile'!C10</f>
        <v>Chinedu Chile</v>
      </c>
      <c r="M7" t="str">
        <f>'Chinedu Chile'!C11</f>
        <v>Alexa Amesimeku</v>
      </c>
      <c r="N7" t="str">
        <f>'Chinedu Chile'!C12</f>
        <v>David Wu</v>
      </c>
      <c r="O7" t="str">
        <f>'Chinedu Chile'!C13</f>
        <v>Edwin Mayers</v>
      </c>
      <c r="P7" t="str">
        <f>'Chinedu Chile'!C14</f>
        <v>Azlan Husain</v>
      </c>
      <c r="Q7" t="str">
        <f>'Chinedu Chile'!C5</f>
        <v>Chinedu Chile</v>
      </c>
      <c r="R7">
        <f>'Chinedu Chile'!C17</f>
        <v>50</v>
      </c>
      <c r="S7">
        <f>'Chinedu Chile'!C18</f>
        <v>0</v>
      </c>
      <c r="T7">
        <f t="shared" si="0"/>
        <v>26</v>
      </c>
      <c r="U7" t="str">
        <f>'Chinedu Chile'!C20</f>
        <v>VALID TEAM</v>
      </c>
      <c r="V7">
        <f t="shared" si="1"/>
        <v>26.000699999999998</v>
      </c>
    </row>
    <row r="8" spans="1:22" x14ac:dyDescent="0.25">
      <c r="A8" t="s">
        <v>50</v>
      </c>
      <c r="B8">
        <v>10.5</v>
      </c>
      <c r="C8">
        <f>SETTINGS!F28</f>
        <v>10.5</v>
      </c>
      <c r="D8">
        <f>IFERROR(IF(INDEX('TEST RESULTS'!$C$5:$C$25,MATCH(A8,'TEST RESULTS'!$B$5:$B$25,0))="",0,MAX(SETTINGS!$C$7,MIN(SETTINGS!$C$8,SETTINGS!$C$5+ROUNDDOWN((INDEX('TEST RESULTS'!$C$5:$C$25,MATCH(A8,'TEST RESULTS'!$B$5:$B$25,0))-AVERAGE('TEST RESULTS'!$C$5:$C$25))/MAX((MAX('TEST RESULTS'!$C$5:$C$25)-MIN('TEST RESULTS'!$C$5:$C$25))/SETTINGS!$C$6,0.1),0)))),0)</f>
        <v>0</v>
      </c>
      <c r="K8" t="s">
        <v>44</v>
      </c>
      <c r="L8" t="str">
        <f>'Daniel Liu'!C10</f>
        <v>Alyza Rai</v>
      </c>
      <c r="M8" t="str">
        <f>'Daniel Liu'!C11</f>
        <v>Ava Swinfen</v>
      </c>
      <c r="N8" t="str">
        <f>'Daniel Liu'!C12</f>
        <v>Emily Warburton</v>
      </c>
      <c r="O8" t="str">
        <f>'Daniel Liu'!C13</f>
        <v>David Wu</v>
      </c>
      <c r="P8" t="str">
        <f>'Daniel Liu'!C14</f>
        <v>Chinedu Chile</v>
      </c>
      <c r="Q8" t="str">
        <f>'Daniel Liu'!C5</f>
        <v>Emily Warburton</v>
      </c>
      <c r="R8">
        <f>'Daniel Liu'!C17</f>
        <v>50</v>
      </c>
      <c r="S8">
        <f>'Daniel Liu'!C18</f>
        <v>0</v>
      </c>
      <c r="T8">
        <f t="shared" si="0"/>
        <v>36</v>
      </c>
      <c r="U8" t="str">
        <f>'Daniel Liu'!C20</f>
        <v>VALID TEAM</v>
      </c>
      <c r="V8">
        <f t="shared" si="1"/>
        <v>36.000799999999998</v>
      </c>
    </row>
    <row r="9" spans="1:22" x14ac:dyDescent="0.25">
      <c r="A9" t="s">
        <v>42</v>
      </c>
      <c r="B9">
        <v>10</v>
      </c>
      <c r="C9">
        <f>SETTINGS!F29</f>
        <v>10</v>
      </c>
      <c r="D9">
        <f>IFERROR(IF(INDEX('TEST RESULTS'!$C$5:$C$25,MATCH(A9,'TEST RESULTS'!$B$5:$B$25,0))="",0,MAX(SETTINGS!$C$7,MIN(SETTINGS!$C$8,SETTINGS!$C$5+ROUNDDOWN((INDEX('TEST RESULTS'!$C$5:$C$25,MATCH(A9,'TEST RESULTS'!$B$5:$B$25,0))-AVERAGE('TEST RESULTS'!$C$5:$C$25))/MAX((MAX('TEST RESULTS'!$C$5:$C$25)-MIN('TEST RESULTS'!$C$5:$C$25))/SETTINGS!$C$6,0.1),0)))),0)</f>
        <v>4</v>
      </c>
      <c r="K9" t="s">
        <v>45</v>
      </c>
      <c r="L9" t="str">
        <f>'David Wu'!C10</f>
        <v>Azlan Husain</v>
      </c>
      <c r="M9" t="str">
        <f>'David Wu'!C11</f>
        <v>Rebecca Seymour</v>
      </c>
      <c r="N9" t="str">
        <f>'David Wu'!C12</f>
        <v>Edwin Mayers</v>
      </c>
      <c r="O9" t="str">
        <f>'David Wu'!C13</f>
        <v>Chinedu Chile</v>
      </c>
      <c r="P9" t="str">
        <f>'David Wu'!C14</f>
        <v>Joe Paige</v>
      </c>
      <c r="Q9" t="str">
        <f>'David Wu'!C5</f>
        <v>Edwin Mayers</v>
      </c>
      <c r="R9">
        <f>'David Wu'!C17</f>
        <v>50</v>
      </c>
      <c r="S9">
        <f>'David Wu'!C18</f>
        <v>0</v>
      </c>
      <c r="T9">
        <f t="shared" si="0"/>
        <v>9</v>
      </c>
      <c r="U9" t="str">
        <f>'David Wu'!C20</f>
        <v>VALID TEAM</v>
      </c>
      <c r="V9">
        <f t="shared" si="1"/>
        <v>9.0008999999999997</v>
      </c>
    </row>
    <row r="10" spans="1:22" x14ac:dyDescent="0.25">
      <c r="A10" t="s">
        <v>53</v>
      </c>
      <c r="B10">
        <v>10</v>
      </c>
      <c r="C10">
        <f>SETTINGS!F30</f>
        <v>10</v>
      </c>
      <c r="D10">
        <f>IFERROR(IF(INDEX('TEST RESULTS'!$C$5:$C$25,MATCH(A10,'TEST RESULTS'!$B$5:$B$25,0))="",0,MAX(SETTINGS!$C$7,MIN(SETTINGS!$C$8,SETTINGS!$C$5+ROUNDDOWN((INDEX('TEST RESULTS'!$C$5:$C$25,MATCH(A10,'TEST RESULTS'!$B$5:$B$25,0))-AVERAGE('TEST RESULTS'!$C$5:$C$25))/MAX((MAX('TEST RESULTS'!$C$5:$C$25)-MIN('TEST RESULTS'!$C$5:$C$25))/SETTINGS!$C$6,0.1),0)))),0)</f>
        <v>7</v>
      </c>
      <c r="K10" t="s">
        <v>46</v>
      </c>
      <c r="L10" t="str">
        <f>'Edwin Mayers'!C10</f>
        <v>Sophie Barker</v>
      </c>
      <c r="M10" t="str">
        <f>'Edwin Mayers'!C11</f>
        <v>Esme Beston</v>
      </c>
      <c r="N10" t="str">
        <f>'Edwin Mayers'!C12</f>
        <v>Edwin Mayers</v>
      </c>
      <c r="O10" t="str">
        <f>'Edwin Mayers'!C13</f>
        <v>Emily Warburton</v>
      </c>
      <c r="P10" t="str">
        <f>'Edwin Mayers'!C14</f>
        <v>Ava Swinfen</v>
      </c>
      <c r="Q10" t="str">
        <f>'Edwin Mayers'!C5</f>
        <v>Emily Warburton</v>
      </c>
      <c r="R10">
        <f>'Edwin Mayers'!C17</f>
        <v>48</v>
      </c>
      <c r="S10">
        <f>'Edwin Mayers'!C18</f>
        <v>2</v>
      </c>
      <c r="T10">
        <f t="shared" si="0"/>
        <v>31</v>
      </c>
      <c r="U10" t="str">
        <f>'Edwin Mayers'!C20</f>
        <v>VALID TEAM</v>
      </c>
      <c r="V10">
        <f t="shared" si="1"/>
        <v>31.001000000000001</v>
      </c>
    </row>
    <row r="11" spans="1:22" x14ac:dyDescent="0.25">
      <c r="A11" t="s">
        <v>38</v>
      </c>
      <c r="B11">
        <v>9.5</v>
      </c>
      <c r="C11">
        <f>SETTINGS!F31</f>
        <v>9.5</v>
      </c>
      <c r="D11">
        <f>IFERROR(IF(INDEX('TEST RESULTS'!$C$5:$C$25,MATCH(A11,'TEST RESULTS'!$B$5:$B$25,0))="",0,MAX(SETTINGS!$C$7,MIN(SETTINGS!$C$8,SETTINGS!$C$5+ROUNDDOWN((INDEX('TEST RESULTS'!$C$5:$C$25,MATCH(A11,'TEST RESULTS'!$B$5:$B$25,0))-AVERAGE('TEST RESULTS'!$C$5:$C$25))/MAX((MAX('TEST RESULTS'!$C$5:$C$25)-MIN('TEST RESULTS'!$C$5:$C$25))/SETTINGS!$C$6,0.1),0)))),0)</f>
        <v>7</v>
      </c>
      <c r="K11" t="s">
        <v>47</v>
      </c>
      <c r="L11">
        <f>'Emily Warburton'!C10</f>
        <v>0</v>
      </c>
      <c r="M11">
        <f>'Emily Warburton'!C11</f>
        <v>0</v>
      </c>
      <c r="N11">
        <f>'Emily Warburton'!C12</f>
        <v>0</v>
      </c>
      <c r="O11">
        <f>'Emily Warburton'!C13</f>
        <v>0</v>
      </c>
      <c r="P11">
        <f>'Emily Warburton'!C14</f>
        <v>0</v>
      </c>
      <c r="Q11">
        <f>'Emily Warburton'!C5</f>
        <v>0</v>
      </c>
      <c r="R11">
        <f>'Emily Warburton'!C17</f>
        <v>0</v>
      </c>
      <c r="S11">
        <f>'Emily Warburton'!C18</f>
        <v>50</v>
      </c>
      <c r="T11">
        <f t="shared" si="0"/>
        <v>0</v>
      </c>
      <c r="U11" t="str">
        <f>'Emily Warburton'!C20</f>
        <v>LESS THAN 5 PLAYERS</v>
      </c>
      <c r="V11">
        <f t="shared" si="1"/>
        <v>1.1000000000000001E-3</v>
      </c>
    </row>
    <row r="12" spans="1:22" x14ac:dyDescent="0.25">
      <c r="A12" t="s">
        <v>44</v>
      </c>
      <c r="B12">
        <v>9.5</v>
      </c>
      <c r="C12">
        <f>SETTINGS!F32</f>
        <v>9.5</v>
      </c>
      <c r="D12">
        <f>IFERROR(IF(INDEX('TEST RESULTS'!$C$5:$C$25,MATCH(A12,'TEST RESULTS'!$B$5:$B$25,0))="",0,MAX(SETTINGS!$C$7,MIN(SETTINGS!$C$8,SETTINGS!$C$5+ROUNDDOWN((INDEX('TEST RESULTS'!$C$5:$C$25,MATCH(A12,'TEST RESULTS'!$B$5:$B$25,0))-AVERAGE('TEST RESULTS'!$C$5:$C$25))/MAX((MAX('TEST RESULTS'!$C$5:$C$25)-MIN('TEST RESULTS'!$C$5:$C$25))/SETTINGS!$C$6,0.1),0)))),0)</f>
        <v>0</v>
      </c>
      <c r="K12" t="s">
        <v>48</v>
      </c>
      <c r="L12">
        <f>'Esme Beston'!C10</f>
        <v>0</v>
      </c>
      <c r="M12">
        <f>'Esme Beston'!C11</f>
        <v>0</v>
      </c>
      <c r="N12">
        <f>'Esme Beston'!C12</f>
        <v>0</v>
      </c>
      <c r="O12">
        <f>'Esme Beston'!C13</f>
        <v>0</v>
      </c>
      <c r="P12">
        <f>'Esme Beston'!C14</f>
        <v>0</v>
      </c>
      <c r="Q12">
        <f>'Esme Beston'!C5</f>
        <v>0</v>
      </c>
      <c r="R12">
        <f>'Esme Beston'!C17</f>
        <v>0</v>
      </c>
      <c r="S12">
        <f>'Esme Beston'!C18</f>
        <v>50</v>
      </c>
      <c r="T12">
        <f t="shared" si="0"/>
        <v>0</v>
      </c>
      <c r="U12" t="str">
        <f>'Esme Beston'!C20</f>
        <v>LESS THAN 5 PLAYERS</v>
      </c>
      <c r="V12">
        <f t="shared" si="1"/>
        <v>1.1999999999999999E-3</v>
      </c>
    </row>
    <row r="13" spans="1:22" x14ac:dyDescent="0.25">
      <c r="A13" t="s">
        <v>55</v>
      </c>
      <c r="B13">
        <v>9.5</v>
      </c>
      <c r="C13">
        <f>SETTINGS!F33</f>
        <v>9.5</v>
      </c>
      <c r="D13">
        <f>IFERROR(IF(INDEX('TEST RESULTS'!$C$5:$C$25,MATCH(A13,'TEST RESULTS'!$B$5:$B$25,0))="",0,MAX(SETTINGS!$C$7,MIN(SETTINGS!$C$8,SETTINGS!$C$5+ROUNDDOWN((INDEX('TEST RESULTS'!$C$5:$C$25,MATCH(A13,'TEST RESULTS'!$B$5:$B$25,0))-AVERAGE('TEST RESULTS'!$C$5:$C$25))/MAX((MAX('TEST RESULTS'!$C$5:$C$25)-MIN('TEST RESULTS'!$C$5:$C$25))/SETTINGS!$C$6,0.1),0)))),0)</f>
        <v>0</v>
      </c>
      <c r="K13" t="s">
        <v>49</v>
      </c>
      <c r="L13">
        <f>'Iona Smith'!C10</f>
        <v>0</v>
      </c>
      <c r="M13">
        <f>'Iona Smith'!C11</f>
        <v>0</v>
      </c>
      <c r="N13">
        <f>'Iona Smith'!C12</f>
        <v>0</v>
      </c>
      <c r="O13">
        <f>'Iona Smith'!C13</f>
        <v>0</v>
      </c>
      <c r="P13">
        <f>'Iona Smith'!C14</f>
        <v>0</v>
      </c>
      <c r="Q13">
        <f>'Iona Smith'!C5</f>
        <v>0</v>
      </c>
      <c r="R13">
        <f>'Iona Smith'!C17</f>
        <v>0</v>
      </c>
      <c r="S13">
        <f>'Iona Smith'!C18</f>
        <v>50</v>
      </c>
      <c r="T13">
        <f t="shared" si="0"/>
        <v>0</v>
      </c>
      <c r="U13" t="str">
        <f>'Iona Smith'!C20</f>
        <v>LESS THAN 5 PLAYERS</v>
      </c>
      <c r="V13">
        <f t="shared" si="1"/>
        <v>1.2999999999999999E-3</v>
      </c>
    </row>
    <row r="14" spans="1:22" x14ac:dyDescent="0.25">
      <c r="A14" t="s">
        <v>46</v>
      </c>
      <c r="B14">
        <v>9</v>
      </c>
      <c r="C14">
        <f>SETTINGS!F34</f>
        <v>9</v>
      </c>
      <c r="D14">
        <f>IFERROR(IF(INDEX('TEST RESULTS'!$C$5:$C$25,MATCH(A14,'TEST RESULTS'!$B$5:$B$25,0))="",0,MAX(SETTINGS!$C$7,MIN(SETTINGS!$C$8,SETTINGS!$C$5+ROUNDDOWN((INDEX('TEST RESULTS'!$C$5:$C$25,MATCH(A14,'TEST RESULTS'!$B$5:$B$25,0))-AVERAGE('TEST RESULTS'!$C$5:$C$25))/MAX((MAX('TEST RESULTS'!$C$5:$C$25)-MIN('TEST RESULTS'!$C$5:$C$25))/SETTINGS!$C$6,0.1),0)))),0)</f>
        <v>0</v>
      </c>
      <c r="K14" t="s">
        <v>50</v>
      </c>
      <c r="L14" t="str">
        <f>'Joe Paige'!C10</f>
        <v>Chinedu Chile</v>
      </c>
      <c r="M14" t="str">
        <f>'Joe Paige'!C11</f>
        <v>Joe Paige</v>
      </c>
      <c r="N14" t="str">
        <f>'Joe Paige'!C12</f>
        <v>Alfie Foley</v>
      </c>
      <c r="O14" t="str">
        <f>'Joe Paige'!C13</f>
        <v>Lia Li</v>
      </c>
      <c r="P14" t="str">
        <f>'Joe Paige'!C14</f>
        <v>Oscar Day-Duran</v>
      </c>
      <c r="Q14" t="str">
        <f>'Joe Paige'!C5</f>
        <v>Chinedu Chile</v>
      </c>
      <c r="R14">
        <f>'Joe Paige'!C17</f>
        <v>50</v>
      </c>
      <c r="S14">
        <f>'Joe Paige'!C18</f>
        <v>0</v>
      </c>
      <c r="T14">
        <f t="shared" si="0"/>
        <v>15</v>
      </c>
      <c r="U14" t="str">
        <f>'Joe Paige'!C20</f>
        <v>VALID TEAM</v>
      </c>
      <c r="V14">
        <f t="shared" si="1"/>
        <v>15.0014</v>
      </c>
    </row>
    <row r="15" spans="1:22" x14ac:dyDescent="0.25">
      <c r="A15" t="s">
        <v>52</v>
      </c>
      <c r="B15">
        <v>8.5</v>
      </c>
      <c r="C15">
        <f>SETTINGS!F35</f>
        <v>8.5</v>
      </c>
      <c r="D15">
        <f>IFERROR(IF(INDEX('TEST RESULTS'!$C$5:$C$25,MATCH(A15,'TEST RESULTS'!$B$5:$B$25,0))="",0,MAX(SETTINGS!$C$7,MIN(SETTINGS!$C$8,SETTINGS!$C$5+ROUNDDOWN((INDEX('TEST RESULTS'!$C$5:$C$25,MATCH(A15,'TEST RESULTS'!$B$5:$B$25,0))-AVERAGE('TEST RESULTS'!$C$5:$C$25))/MAX((MAX('TEST RESULTS'!$C$5:$C$25)-MIN('TEST RESULTS'!$C$5:$C$25))/SETTINGS!$C$6,0.1),0)))),0)</f>
        <v>7</v>
      </c>
      <c r="K15" t="s">
        <v>51</v>
      </c>
      <c r="L15">
        <f>'Lia Li'!C10</f>
        <v>0</v>
      </c>
      <c r="M15">
        <f>'Lia Li'!C11</f>
        <v>0</v>
      </c>
      <c r="N15">
        <f>'Lia Li'!C12</f>
        <v>0</v>
      </c>
      <c r="O15">
        <f>'Lia Li'!C13</f>
        <v>0</v>
      </c>
      <c r="P15">
        <f>'Lia Li'!C14</f>
        <v>0</v>
      </c>
      <c r="Q15">
        <f>'Lia Li'!C5</f>
        <v>0</v>
      </c>
      <c r="R15">
        <f>'Lia Li'!C17</f>
        <v>0</v>
      </c>
      <c r="S15">
        <f>'Lia Li'!C18</f>
        <v>50</v>
      </c>
      <c r="T15">
        <f t="shared" si="0"/>
        <v>0</v>
      </c>
      <c r="U15" t="str">
        <f>'Lia Li'!C20</f>
        <v>LESS THAN 5 PLAYERS</v>
      </c>
      <c r="V15">
        <f t="shared" si="1"/>
        <v>1.5E-3</v>
      </c>
    </row>
    <row r="16" spans="1:22" x14ac:dyDescent="0.25">
      <c r="A16" t="s">
        <v>48</v>
      </c>
      <c r="B16">
        <v>8</v>
      </c>
      <c r="C16">
        <f>SETTINGS!F36</f>
        <v>8</v>
      </c>
      <c r="D16">
        <f>IFERROR(IF(INDEX('TEST RESULTS'!$C$5:$C$25,MATCH(A16,'TEST RESULTS'!$B$5:$B$25,0))="",0,MAX(SETTINGS!$C$7,MIN(SETTINGS!$C$8,SETTINGS!$C$5+ROUNDDOWN((INDEX('TEST RESULTS'!$C$5:$C$25,MATCH(A16,'TEST RESULTS'!$B$5:$B$25,0))-AVERAGE('TEST RESULTS'!$C$5:$C$25))/MAX((MAX('TEST RESULTS'!$C$5:$C$25)-MIN('TEST RESULTS'!$C$5:$C$25))/SETTINGS!$C$6,0.1),0)))),0)</f>
        <v>2</v>
      </c>
      <c r="K16" t="s">
        <v>52</v>
      </c>
      <c r="L16" t="str">
        <f>'Melody Zhaeentan'!C10</f>
        <v>Lia Li</v>
      </c>
      <c r="M16" t="str">
        <f>'Melody Zhaeentan'!C11</f>
        <v>Edwin Mayers</v>
      </c>
      <c r="N16" t="str">
        <f>'Melody Zhaeentan'!C12</f>
        <v>Rebecca Seymour</v>
      </c>
      <c r="O16" t="str">
        <f>'Melody Zhaeentan'!C13</f>
        <v>Joe Paige</v>
      </c>
      <c r="P16" t="str">
        <f>'Melody Zhaeentan'!C14</f>
        <v>Xander Meijer</v>
      </c>
      <c r="Q16" t="str">
        <f>'Melody Zhaeentan'!C5</f>
        <v>Lia Li</v>
      </c>
      <c r="R16">
        <f>'Melody Zhaeentan'!C17</f>
        <v>49</v>
      </c>
      <c r="S16">
        <f>'Melody Zhaeentan'!C18</f>
        <v>1</v>
      </c>
      <c r="T16">
        <f t="shared" si="0"/>
        <v>11</v>
      </c>
      <c r="U16" t="str">
        <f>'Melody Zhaeentan'!C20</f>
        <v>VALID TEAM</v>
      </c>
      <c r="V16">
        <f t="shared" si="1"/>
        <v>11.0016</v>
      </c>
    </row>
    <row r="17" spans="1:22" x14ac:dyDescent="0.25">
      <c r="A17" t="s">
        <v>49</v>
      </c>
      <c r="B17">
        <v>8</v>
      </c>
      <c r="C17">
        <f>SETTINGS!F37</f>
        <v>8</v>
      </c>
      <c r="D17">
        <f>IFERROR(IF(INDEX('TEST RESULTS'!$C$5:$C$25,MATCH(A17,'TEST RESULTS'!$B$5:$B$25,0))="",0,MAX(SETTINGS!$C$7,MIN(SETTINGS!$C$8,SETTINGS!$C$5+ROUNDDOWN((INDEX('TEST RESULTS'!$C$5:$C$25,MATCH(A17,'TEST RESULTS'!$B$5:$B$25,0))-AVERAGE('TEST RESULTS'!$C$5:$C$25))/MAX((MAX('TEST RESULTS'!$C$5:$C$25)-MIN('TEST RESULTS'!$C$5:$C$25))/SETTINGS!$C$6,0.1),0)))),0)</f>
        <v>0</v>
      </c>
      <c r="K17" t="s">
        <v>53</v>
      </c>
      <c r="L17">
        <f>'Nina De Saram'!C10</f>
        <v>0</v>
      </c>
      <c r="M17">
        <f>'Nina De Saram'!C11</f>
        <v>0</v>
      </c>
      <c r="N17">
        <f>'Nina De Saram'!C12</f>
        <v>0</v>
      </c>
      <c r="O17">
        <f>'Nina De Saram'!C13</f>
        <v>0</v>
      </c>
      <c r="P17">
        <f>'Nina De Saram'!C14</f>
        <v>0</v>
      </c>
      <c r="Q17">
        <f>'Nina De Saram'!C5</f>
        <v>0</v>
      </c>
      <c r="R17">
        <f>'Nina De Saram'!C17</f>
        <v>0</v>
      </c>
      <c r="S17">
        <f>'Nina De Saram'!C18</f>
        <v>50</v>
      </c>
      <c r="T17">
        <f t="shared" si="0"/>
        <v>0</v>
      </c>
      <c r="U17" t="str">
        <f>'Nina De Saram'!C20</f>
        <v>LESS THAN 5 PLAYERS</v>
      </c>
      <c r="V17">
        <f t="shared" si="1"/>
        <v>1.6999999999999999E-3</v>
      </c>
    </row>
    <row r="18" spans="1:22" x14ac:dyDescent="0.25">
      <c r="A18" t="s">
        <v>54</v>
      </c>
      <c r="B18">
        <v>8</v>
      </c>
      <c r="C18">
        <f>SETTINGS!F38</f>
        <v>8</v>
      </c>
      <c r="D18">
        <f>IFERROR(IF(INDEX('TEST RESULTS'!$C$5:$C$25,MATCH(A18,'TEST RESULTS'!$B$5:$B$25,0))="",0,MAX(SETTINGS!$C$7,MIN(SETTINGS!$C$8,SETTINGS!$C$5+ROUNDDOWN((INDEX('TEST RESULTS'!$C$5:$C$25,MATCH(A18,'TEST RESULTS'!$B$5:$B$25,0))-AVERAGE('TEST RESULTS'!$C$5:$C$25))/MAX((MAX('TEST RESULTS'!$C$5:$C$25)-MIN('TEST RESULTS'!$C$5:$C$25))/SETTINGS!$C$6,0.1),0)))),0)</f>
        <v>0</v>
      </c>
      <c r="K18" t="s">
        <v>54</v>
      </c>
      <c r="L18" t="str">
        <f>'Oscar Day-Duran'!C10</f>
        <v>Oscar Day-Duran</v>
      </c>
      <c r="M18" t="str">
        <f>'Oscar Day-Duran'!C11</f>
        <v>Chinedu Chile</v>
      </c>
      <c r="N18" t="str">
        <f>'Oscar Day-Duran'!C12</f>
        <v>Nina De Saram</v>
      </c>
      <c r="O18" t="str">
        <f>'Oscar Day-Duran'!C13</f>
        <v>David Wu</v>
      </c>
      <c r="P18" t="str">
        <f>'Oscar Day-Duran'!C14</f>
        <v>Joe Paige</v>
      </c>
      <c r="Q18" t="str">
        <f>'Oscar Day-Duran'!C5</f>
        <v>Joe Paige</v>
      </c>
      <c r="R18">
        <f>'Oscar Day-Duran'!C17</f>
        <v>50</v>
      </c>
      <c r="S18">
        <f>'Oscar Day-Duran'!C18</f>
        <v>0</v>
      </c>
      <c r="T18">
        <f t="shared" si="0"/>
        <v>17</v>
      </c>
      <c r="U18" t="str">
        <f>'Oscar Day-Duran'!C20</f>
        <v>VALID TEAM</v>
      </c>
      <c r="V18">
        <f t="shared" si="1"/>
        <v>17.001799999999999</v>
      </c>
    </row>
    <row r="19" spans="1:22" x14ac:dyDescent="0.25">
      <c r="A19" t="s">
        <v>39</v>
      </c>
      <c r="B19">
        <v>7.5</v>
      </c>
      <c r="C19">
        <f>SETTINGS!F39</f>
        <v>7.5</v>
      </c>
      <c r="D19">
        <f>IFERROR(IF(INDEX('TEST RESULTS'!$C$5:$C$25,MATCH(A19,'TEST RESULTS'!$B$5:$B$25,0))="",0,MAX(SETTINGS!$C$7,MIN(SETTINGS!$C$8,SETTINGS!$C$5+ROUNDDOWN((INDEX('TEST RESULTS'!$C$5:$C$25,MATCH(A19,'TEST RESULTS'!$B$5:$B$25,0))-AVERAGE('TEST RESULTS'!$C$5:$C$25))/MAX((MAX('TEST RESULTS'!$C$5:$C$25)-MIN('TEST RESULTS'!$C$5:$C$25))/SETTINGS!$C$6,0.1),0)))),0)</f>
        <v>0</v>
      </c>
      <c r="K19" t="s">
        <v>55</v>
      </c>
      <c r="L19">
        <f>'Rebecca Seymour'!C10</f>
        <v>0</v>
      </c>
      <c r="M19">
        <f>'Rebecca Seymour'!C11</f>
        <v>0</v>
      </c>
      <c r="N19">
        <f>'Rebecca Seymour'!C12</f>
        <v>0</v>
      </c>
      <c r="O19">
        <f>'Rebecca Seymour'!C13</f>
        <v>0</v>
      </c>
      <c r="P19">
        <f>'Rebecca Seymour'!C14</f>
        <v>0</v>
      </c>
      <c r="Q19">
        <f>'Rebecca Seymour'!C5</f>
        <v>0</v>
      </c>
      <c r="R19">
        <f>'Rebecca Seymour'!C17</f>
        <v>0</v>
      </c>
      <c r="S19">
        <f>'Rebecca Seymour'!C18</f>
        <v>50</v>
      </c>
      <c r="T19">
        <f t="shared" si="0"/>
        <v>0</v>
      </c>
      <c r="U19" t="str">
        <f>'Rebecca Seymour'!C20</f>
        <v>LESS THAN 5 PLAYERS</v>
      </c>
      <c r="V19">
        <f t="shared" si="1"/>
        <v>1.9E-3</v>
      </c>
    </row>
    <row r="20" spans="1:22" x14ac:dyDescent="0.25">
      <c r="A20" t="s">
        <v>41</v>
      </c>
      <c r="B20">
        <v>7</v>
      </c>
      <c r="C20">
        <f>SETTINGS!F40</f>
        <v>7</v>
      </c>
      <c r="D20">
        <f>IFERROR(IF(INDEX('TEST RESULTS'!$C$5:$C$25,MATCH(A20,'TEST RESULTS'!$B$5:$B$25,0))="",0,MAX(SETTINGS!$C$7,MIN(SETTINGS!$C$8,SETTINGS!$C$5+ROUNDDOWN((INDEX('TEST RESULTS'!$C$5:$C$25,MATCH(A20,'TEST RESULTS'!$B$5:$B$25,0))-AVERAGE('TEST RESULTS'!$C$5:$C$25))/MAX((MAX('TEST RESULTS'!$C$5:$C$25)-MIN('TEST RESULTS'!$C$5:$C$25))/SETTINGS!$C$6,0.1),0)))),0)</f>
        <v>2</v>
      </c>
      <c r="K20" t="s">
        <v>56</v>
      </c>
      <c r="L20" t="str">
        <f>'Rory Bowman'!C10</f>
        <v>David Wu</v>
      </c>
      <c r="M20" t="str">
        <f>'Rory Bowman'!C11</f>
        <v>Ava Swinfen</v>
      </c>
      <c r="N20" t="str">
        <f>'Rory Bowman'!C12</f>
        <v>Alyza Rai</v>
      </c>
      <c r="O20" t="str">
        <f>'Rory Bowman'!C13</f>
        <v>Edwin Mayers</v>
      </c>
      <c r="P20" t="str">
        <f>'Rory Bowman'!C14</f>
        <v>Lia Li</v>
      </c>
      <c r="Q20" t="str">
        <f>'Rory Bowman'!C5</f>
        <v>Lia Li</v>
      </c>
      <c r="R20">
        <f>'Rory Bowman'!C17</f>
        <v>50</v>
      </c>
      <c r="S20">
        <f>'Rory Bowman'!C18</f>
        <v>0</v>
      </c>
      <c r="T20">
        <f t="shared" si="0"/>
        <v>23</v>
      </c>
      <c r="U20" t="str">
        <f>'Rory Bowman'!C20</f>
        <v>VALID TEAM</v>
      </c>
      <c r="V20">
        <f t="shared" si="1"/>
        <v>23.001999999999999</v>
      </c>
    </row>
    <row r="21" spans="1:22" x14ac:dyDescent="0.25">
      <c r="A21" t="s">
        <v>56</v>
      </c>
      <c r="B21">
        <v>7</v>
      </c>
      <c r="C21">
        <f>SETTINGS!F41</f>
        <v>7</v>
      </c>
      <c r="D21">
        <f>IFERROR(IF(INDEX('TEST RESULTS'!$C$5:$C$25,MATCH(A21,'TEST RESULTS'!$B$5:$B$25,0))="",0,MAX(SETTINGS!$C$7,MIN(SETTINGS!$C$8,SETTINGS!$C$5+ROUNDDOWN((INDEX('TEST RESULTS'!$C$5:$C$25,MATCH(A21,'TEST RESULTS'!$B$5:$B$25,0))-AVERAGE('TEST RESULTS'!$C$5:$C$25))/MAX((MAX('TEST RESULTS'!$C$5:$C$25)-MIN('TEST RESULTS'!$C$5:$C$25))/SETTINGS!$C$6,0.1),0)))),0)</f>
        <v>0</v>
      </c>
      <c r="K21" t="s">
        <v>57</v>
      </c>
      <c r="L21">
        <f>'Sophie Barker'!C10</f>
        <v>0</v>
      </c>
      <c r="M21">
        <f>'Sophie Barker'!C11</f>
        <v>0</v>
      </c>
      <c r="N21">
        <f>'Sophie Barker'!C12</f>
        <v>0</v>
      </c>
      <c r="O21">
        <f>'Sophie Barker'!C13</f>
        <v>0</v>
      </c>
      <c r="P21">
        <f>'Sophie Barker'!C14</f>
        <v>0</v>
      </c>
      <c r="Q21">
        <f>'Sophie Barker'!C5</f>
        <v>0</v>
      </c>
      <c r="R21">
        <f>'Sophie Barker'!C17</f>
        <v>0</v>
      </c>
      <c r="S21">
        <f>'Sophie Barker'!C18</f>
        <v>50</v>
      </c>
      <c r="T21">
        <f t="shared" si="0"/>
        <v>0</v>
      </c>
      <c r="U21" t="str">
        <f>'Sophie Barker'!C20</f>
        <v>LESS THAN 5 PLAYERS</v>
      </c>
      <c r="V21">
        <f t="shared" si="1"/>
        <v>2.0999999999999999E-3</v>
      </c>
    </row>
    <row r="22" spans="1:22" x14ac:dyDescent="0.25">
      <c r="A22" t="s">
        <v>58</v>
      </c>
      <c r="B22">
        <v>7</v>
      </c>
      <c r="C22">
        <f>SETTINGS!F42</f>
        <v>7</v>
      </c>
      <c r="D22">
        <f>IFERROR(IF(INDEX('TEST RESULTS'!$C$5:$C$25,MATCH(A22,'TEST RESULTS'!$B$5:$B$25,0))="",0,MAX(SETTINGS!$C$7,MIN(SETTINGS!$C$8,SETTINGS!$C$5+ROUNDDOWN((INDEX('TEST RESULTS'!$C$5:$C$25,MATCH(A22,'TEST RESULTS'!$B$5:$B$25,0))-AVERAGE('TEST RESULTS'!$C$5:$C$25))/MAX((MAX('TEST RESULTS'!$C$5:$C$25)-MIN('TEST RESULTS'!$C$5:$C$25))/SETTINGS!$C$6,0.1),0)))),0)</f>
        <v>1</v>
      </c>
      <c r="K22" t="s">
        <v>58</v>
      </c>
      <c r="L22" t="str">
        <f>'Xander Meijer'!C10</f>
        <v>Lia Li</v>
      </c>
      <c r="M22" t="str">
        <f>'Xander Meijer'!C11</f>
        <v>David Wu</v>
      </c>
      <c r="N22" t="str">
        <f>'Xander Meijer'!C12</f>
        <v>Ava Swinfen</v>
      </c>
      <c r="O22" t="str">
        <f>'Xander Meijer'!C13</f>
        <v>Joe Paige</v>
      </c>
      <c r="P22" t="str">
        <f>'Xander Meijer'!C14</f>
        <v>Melody Zhaeentan</v>
      </c>
      <c r="Q22" t="str">
        <f>'Xander Meijer'!C5</f>
        <v>Lia Li</v>
      </c>
      <c r="R22">
        <f>'Xander Meijer'!C17</f>
        <v>49.5</v>
      </c>
      <c r="S22">
        <f>'Xander Meijer'!C18</f>
        <v>0.5</v>
      </c>
      <c r="T22">
        <f t="shared" si="0"/>
        <v>24</v>
      </c>
      <c r="U22" t="str">
        <f>'Xander Meijer'!C20</f>
        <v>VALID TEAM</v>
      </c>
      <c r="V22">
        <f t="shared" si="1"/>
        <v>24.002199999999998</v>
      </c>
    </row>
  </sheetData>
  <sheetProtection formatCells="0" formatColumns="0" formatRows="0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167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/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41" priority="1">
      <formula>C20="VALID TEAM"</formula>
    </cfRule>
    <cfRule type="expression" dxfId="40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0B00-000001000000}">
      <formula1>$C$10:$C$14</formula1>
    </dataValidation>
  </dataValidations>
  <hyperlinks>
    <hyperlink ref="B2" location="'PICK YOUR TEAM'!A1" display="← Back to PICK YOUR TEAM" xr:uid="{00000000-0004-0000-0B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0B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176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57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41</v>
      </c>
      <c r="D10" s="32">
        <f>IF(C10="","",IFERROR(INDEX(CALCULATIONS!$C$2:$C$22,MATCH(C10,CALCULATIONS!$A$2:$A$22,0)),""))</f>
        <v>7</v>
      </c>
    </row>
    <row r="11" spans="2:4" ht="32.1" customHeight="1" x14ac:dyDescent="0.25">
      <c r="B11" s="17">
        <v>2</v>
      </c>
      <c r="C11" s="9" t="s">
        <v>45</v>
      </c>
      <c r="D11" s="32">
        <f>IF(C11="","",IFERROR(INDEX(CALCULATIONS!$C$2:$C$22,MATCH(C11,CALCULATIONS!$A$2:$A$22,0)),""))</f>
        <v>10.5</v>
      </c>
    </row>
    <row r="12" spans="2:4" ht="32.1" customHeight="1" x14ac:dyDescent="0.25">
      <c r="B12" s="17">
        <v>3</v>
      </c>
      <c r="C12" s="9" t="s">
        <v>40</v>
      </c>
      <c r="D12" s="32">
        <f>IF(C12="","",IFERROR(INDEX(CALCULATIONS!$C$2:$C$22,MATCH(C12,CALCULATIONS!$A$2:$A$22,0)),""))</f>
        <v>10.5</v>
      </c>
    </row>
    <row r="13" spans="2:4" ht="32.1" customHeight="1" x14ac:dyDescent="0.25">
      <c r="B13" s="17">
        <v>4</v>
      </c>
      <c r="C13" s="9" t="s">
        <v>57</v>
      </c>
      <c r="D13" s="32">
        <f>IF(C13="","",IFERROR(INDEX(CALCULATIONS!$C$2:$C$22,MATCH(C13,CALCULATIONS!$A$2:$A$22,0)),""))</f>
        <v>13</v>
      </c>
    </row>
    <row r="14" spans="2:4" ht="32.1" customHeight="1" x14ac:dyDescent="0.25">
      <c r="B14" s="17">
        <v>5</v>
      </c>
      <c r="C14" s="9" t="s">
        <v>46</v>
      </c>
      <c r="D14" s="32">
        <f>IF(C14="","",IFERROR(INDEX(CALCULATIONS!$C$2:$C$22,MATCH(C14,CALCULATIONS!$A$2:$A$22,0)),""))</f>
        <v>9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31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9" priority="1">
      <formula>C20="VALID TEAM"</formula>
    </cfRule>
    <cfRule type="expression" dxfId="38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0C00-000001000000}">
      <formula1>$C$10:$C$14</formula1>
    </dataValidation>
  </dataValidations>
  <hyperlinks>
    <hyperlink ref="B2" location="'PICK YOUR TEAM'!A1" display="← Back to PICK YOUR TEAM" xr:uid="{00000000-0004-0000-0C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0C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177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/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7" priority="1">
      <formula>C20="VALID TEAM"</formula>
    </cfRule>
    <cfRule type="expression" dxfId="36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0D00-000001000000}">
      <formula1>$C$10:$C$14</formula1>
    </dataValidation>
  </dataValidations>
  <hyperlinks>
    <hyperlink ref="B2" location="'PICK YOUR TEAM'!A1" display="← Back to PICK YOUR TEAM" xr:uid="{00000000-0004-0000-0D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0D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178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51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41</v>
      </c>
      <c r="D10" s="32">
        <f>IF(C10="","",IFERROR(INDEX(CALCULATIONS!$C$2:$C$22,MATCH(C10,CALCULATIONS!$A$2:$A$22,0)),""))</f>
        <v>7</v>
      </c>
    </row>
    <row r="11" spans="2:4" ht="32.1" customHeight="1" x14ac:dyDescent="0.25">
      <c r="B11" s="17">
        <v>2</v>
      </c>
      <c r="C11" s="9" t="s">
        <v>52</v>
      </c>
      <c r="D11" s="32">
        <f>IF(C11="","",IFERROR(INDEX(CALCULATIONS!$C$2:$C$22,MATCH(C11,CALCULATIONS!$A$2:$A$22,0)),""))</f>
        <v>8.5</v>
      </c>
    </row>
    <row r="12" spans="2:4" ht="32.1" customHeight="1" x14ac:dyDescent="0.25">
      <c r="B12" s="17">
        <v>3</v>
      </c>
      <c r="C12" s="9" t="s">
        <v>51</v>
      </c>
      <c r="D12" s="32">
        <f>IF(C12="","",IFERROR(INDEX(CALCULATIONS!$C$2:$C$22,MATCH(C12,CALCULATIONS!$A$2:$A$22,0)),""))</f>
        <v>13</v>
      </c>
    </row>
    <row r="13" spans="2:4" ht="32.1" customHeight="1" x14ac:dyDescent="0.25">
      <c r="B13" s="17">
        <v>4</v>
      </c>
      <c r="C13" s="9" t="s">
        <v>43</v>
      </c>
      <c r="D13" s="32">
        <f>IF(C13="","",IFERROR(INDEX(CALCULATIONS!$C$2:$C$22,MATCH(C13,CALCULATIONS!$A$2:$A$22,0)),""))</f>
        <v>11</v>
      </c>
    </row>
    <row r="14" spans="2:4" ht="32.1" customHeight="1" x14ac:dyDescent="0.25">
      <c r="B14" s="17">
        <v>5</v>
      </c>
      <c r="C14" s="9" t="s">
        <v>45</v>
      </c>
      <c r="D14" s="32">
        <f>IF(C14="","",IFERROR(INDEX(CALCULATIONS!$C$2:$C$22,MATCH(C14,CALCULATIONS!$A$2:$A$22,0)),""))</f>
        <v>10.5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29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5" priority="1">
      <formula>C20="VALID TEAM"</formula>
    </cfRule>
    <cfRule type="expression" dxfId="34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0E00-000001000000}">
      <formula1>$C$10:$C$14</formula1>
    </dataValidation>
  </dataValidations>
  <hyperlinks>
    <hyperlink ref="B2" location="'PICK YOUR TEAM'!A1" display="← Back to PICK YOUR TEAM" xr:uid="{00000000-0004-0000-0E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0E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179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47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47</v>
      </c>
      <c r="D10" s="32">
        <f>IF(C10="","",IFERROR(INDEX(CALCULATIONS!$C$2:$C$22,MATCH(C10,CALCULATIONS!$A$2:$A$22,0)),""))</f>
        <v>11</v>
      </c>
    </row>
    <row r="11" spans="2:4" ht="32.1" customHeight="1" x14ac:dyDescent="0.25">
      <c r="B11" s="17">
        <v>2</v>
      </c>
      <c r="C11" s="9" t="s">
        <v>43</v>
      </c>
      <c r="D11" s="32">
        <f>IF(C11="","",IFERROR(INDEX(CALCULATIONS!$C$2:$C$22,MATCH(C11,CALCULATIONS!$A$2:$A$22,0)),""))</f>
        <v>11</v>
      </c>
    </row>
    <row r="12" spans="2:4" ht="32.1" customHeight="1" x14ac:dyDescent="0.25">
      <c r="B12" s="17">
        <v>3</v>
      </c>
      <c r="C12" s="9" t="s">
        <v>50</v>
      </c>
      <c r="D12" s="32">
        <f>IF(C12="","",IFERROR(INDEX(CALCULATIONS!$C$2:$C$22,MATCH(C12,CALCULATIONS!$A$2:$A$22,0)),""))</f>
        <v>10.5</v>
      </c>
    </row>
    <row r="13" spans="2:4" ht="32.1" customHeight="1" x14ac:dyDescent="0.25">
      <c r="B13" s="17">
        <v>4</v>
      </c>
      <c r="C13" s="9" t="s">
        <v>39</v>
      </c>
      <c r="D13" s="32">
        <f>IF(C13="","",IFERROR(INDEX(CALCULATIONS!$C$2:$C$22,MATCH(C13,CALCULATIONS!$A$2:$A$22,0)),""))</f>
        <v>7.5</v>
      </c>
    </row>
    <row r="14" spans="2:4" ht="32.1" customHeight="1" x14ac:dyDescent="0.25">
      <c r="B14" s="17">
        <v>5</v>
      </c>
      <c r="C14" s="9" t="s">
        <v>46</v>
      </c>
      <c r="D14" s="32">
        <f>IF(C14="","",IFERROR(INDEX(CALCULATIONS!$C$2:$C$22,MATCH(C14,CALCULATIONS!$A$2:$A$22,0)),""))</f>
        <v>9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49</v>
      </c>
    </row>
    <row r="18" spans="2:4" ht="30" customHeight="1" x14ac:dyDescent="0.25">
      <c r="B18" s="19" t="s">
        <v>165</v>
      </c>
      <c r="C18" s="34">
        <f>50-C17</f>
        <v>1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23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3" priority="1">
      <formula>C20="VALID TEAM"</formula>
    </cfRule>
    <cfRule type="expression" dxfId="32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0F00-000001000000}">
      <formula1>$C$10:$C$14</formula1>
    </dataValidation>
  </dataValidations>
  <hyperlinks>
    <hyperlink ref="B2" location="'PICK YOUR TEAM'!A1" display="← Back to PICK YOUR TEAM" xr:uid="{00000000-0004-0000-0F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0F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180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43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43</v>
      </c>
      <c r="D10" s="32">
        <f>IF(C10="","",IFERROR(INDEX(CALCULATIONS!$C$2:$C$22,MATCH(C10,CALCULATIONS!$A$2:$A$22,0)),""))</f>
        <v>11</v>
      </c>
    </row>
    <row r="11" spans="2:4" ht="32.1" customHeight="1" x14ac:dyDescent="0.25">
      <c r="B11" s="17">
        <v>2</v>
      </c>
      <c r="C11" s="9" t="s">
        <v>38</v>
      </c>
      <c r="D11" s="32">
        <f>IF(C11="","",IFERROR(INDEX(CALCULATIONS!$C$2:$C$22,MATCH(C11,CALCULATIONS!$A$2:$A$22,0)),""))</f>
        <v>9.5</v>
      </c>
    </row>
    <row r="12" spans="2:4" ht="32.1" customHeight="1" x14ac:dyDescent="0.25">
      <c r="B12" s="17">
        <v>3</v>
      </c>
      <c r="C12" s="9" t="s">
        <v>45</v>
      </c>
      <c r="D12" s="32">
        <f>IF(C12="","",IFERROR(INDEX(CALCULATIONS!$C$2:$C$22,MATCH(C12,CALCULATIONS!$A$2:$A$22,0)),""))</f>
        <v>10.5</v>
      </c>
    </row>
    <row r="13" spans="2:4" ht="32.1" customHeight="1" x14ac:dyDescent="0.25">
      <c r="B13" s="17">
        <v>4</v>
      </c>
      <c r="C13" s="9" t="s">
        <v>46</v>
      </c>
      <c r="D13" s="32">
        <f>IF(C13="","",IFERROR(INDEX(CALCULATIONS!$C$2:$C$22,MATCH(C13,CALCULATIONS!$A$2:$A$22,0)),""))</f>
        <v>9</v>
      </c>
    </row>
    <row r="14" spans="2:4" ht="32.1" customHeight="1" x14ac:dyDescent="0.25">
      <c r="B14" s="17">
        <v>5</v>
      </c>
      <c r="C14" s="9" t="s">
        <v>42</v>
      </c>
      <c r="D14" s="32">
        <f>IF(C14="","",IFERROR(INDEX(CALCULATIONS!$C$2:$C$22,MATCH(C14,CALCULATIONS!$A$2:$A$22,0)),""))</f>
        <v>10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26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1" priority="1">
      <formula>C20="VALID TEAM"</formula>
    </cfRule>
    <cfRule type="expression" dxfId="30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000-000001000000}">
      <formula1>$C$10:$C$14</formula1>
    </dataValidation>
  </dataValidations>
  <hyperlinks>
    <hyperlink ref="B2" location="'PICK YOUR TEAM'!A1" display="← Back to PICK YOUR TEAM" xr:uid="{00000000-0004-0000-10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0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181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47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40</v>
      </c>
      <c r="D10" s="32">
        <f>IF(C10="","",IFERROR(INDEX(CALCULATIONS!$C$2:$C$22,MATCH(C10,CALCULATIONS!$A$2:$A$22,0)),""))</f>
        <v>10.5</v>
      </c>
    </row>
    <row r="11" spans="2:4" ht="32.1" customHeight="1" x14ac:dyDescent="0.25">
      <c r="B11" s="17">
        <v>2</v>
      </c>
      <c r="C11" s="9" t="s">
        <v>41</v>
      </c>
      <c r="D11" s="32">
        <f>IF(C11="","",IFERROR(INDEX(CALCULATIONS!$C$2:$C$22,MATCH(C11,CALCULATIONS!$A$2:$A$22,0)),""))</f>
        <v>7</v>
      </c>
    </row>
    <row r="12" spans="2:4" ht="32.1" customHeight="1" x14ac:dyDescent="0.25">
      <c r="B12" s="17">
        <v>3</v>
      </c>
      <c r="C12" s="9" t="s">
        <v>47</v>
      </c>
      <c r="D12" s="32">
        <f>IF(C12="","",IFERROR(INDEX(CALCULATIONS!$C$2:$C$22,MATCH(C12,CALCULATIONS!$A$2:$A$22,0)),""))</f>
        <v>11</v>
      </c>
    </row>
    <row r="13" spans="2:4" ht="32.1" customHeight="1" x14ac:dyDescent="0.25">
      <c r="B13" s="17">
        <v>4</v>
      </c>
      <c r="C13" s="9" t="s">
        <v>45</v>
      </c>
      <c r="D13" s="32">
        <f>IF(C13="","",IFERROR(INDEX(CALCULATIONS!$C$2:$C$22,MATCH(C13,CALCULATIONS!$A$2:$A$22,0)),""))</f>
        <v>10.5</v>
      </c>
    </row>
    <row r="14" spans="2:4" ht="32.1" customHeight="1" x14ac:dyDescent="0.25">
      <c r="B14" s="17">
        <v>5</v>
      </c>
      <c r="C14" s="9" t="s">
        <v>43</v>
      </c>
      <c r="D14" s="32">
        <f>IF(C14="","",IFERROR(INDEX(CALCULATIONS!$C$2:$C$22,MATCH(C14,CALCULATIONS!$A$2:$A$22,0)),""))</f>
        <v>11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36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29" priority="1">
      <formula>C20="VALID TEAM"</formula>
    </cfRule>
    <cfRule type="expression" dxfId="28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100-000001000000}">
      <formula1>$C$10:$C$14</formula1>
    </dataValidation>
  </dataValidations>
  <hyperlinks>
    <hyperlink ref="B2" location="'PICK YOUR TEAM'!A1" display="← Back to PICK YOUR TEAM" xr:uid="{00000000-0004-0000-11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1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182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46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42</v>
      </c>
      <c r="D10" s="32">
        <f>IF(C10="","",IFERROR(INDEX(CALCULATIONS!$C$2:$C$22,MATCH(C10,CALCULATIONS!$A$2:$A$22,0)),""))</f>
        <v>10</v>
      </c>
    </row>
    <row r="11" spans="2:4" ht="32.1" customHeight="1" x14ac:dyDescent="0.25">
      <c r="B11" s="17">
        <v>2</v>
      </c>
      <c r="C11" s="9" t="s">
        <v>55</v>
      </c>
      <c r="D11" s="32">
        <f>IF(C11="","",IFERROR(INDEX(CALCULATIONS!$C$2:$C$22,MATCH(C11,CALCULATIONS!$A$2:$A$22,0)),""))</f>
        <v>9.5</v>
      </c>
    </row>
    <row r="12" spans="2:4" ht="32.1" customHeight="1" x14ac:dyDescent="0.25">
      <c r="B12" s="17">
        <v>3</v>
      </c>
      <c r="C12" s="9" t="s">
        <v>46</v>
      </c>
      <c r="D12" s="32">
        <f>IF(C12="","",IFERROR(INDEX(CALCULATIONS!$C$2:$C$22,MATCH(C12,CALCULATIONS!$A$2:$A$22,0)),""))</f>
        <v>9</v>
      </c>
    </row>
    <row r="13" spans="2:4" ht="32.1" customHeight="1" x14ac:dyDescent="0.25">
      <c r="B13" s="17">
        <v>4</v>
      </c>
      <c r="C13" s="9" t="s">
        <v>43</v>
      </c>
      <c r="D13" s="32">
        <f>IF(C13="","",IFERROR(INDEX(CALCULATIONS!$C$2:$C$22,MATCH(C13,CALCULATIONS!$A$2:$A$22,0)),""))</f>
        <v>11</v>
      </c>
    </row>
    <row r="14" spans="2:4" ht="32.1" customHeight="1" x14ac:dyDescent="0.25">
      <c r="B14" s="17">
        <v>5</v>
      </c>
      <c r="C14" s="9" t="s">
        <v>50</v>
      </c>
      <c r="D14" s="32">
        <f>IF(C14="","",IFERROR(INDEX(CALCULATIONS!$C$2:$C$22,MATCH(C14,CALCULATIONS!$A$2:$A$22,0)),""))</f>
        <v>10.5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9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27" priority="1">
      <formula>C20="VALID TEAM"</formula>
    </cfRule>
    <cfRule type="expression" dxfId="26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200-000001000000}">
      <formula1>$C$10:$C$14</formula1>
    </dataValidation>
  </dataValidations>
  <hyperlinks>
    <hyperlink ref="B2" location="'PICK YOUR TEAM'!A1" display="← Back to PICK YOUR TEAM" xr:uid="{00000000-0004-0000-12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2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183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47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57</v>
      </c>
      <c r="D10" s="32">
        <f>IF(C10="","",IFERROR(INDEX(CALCULATIONS!$C$2:$C$22,MATCH(C10,CALCULATIONS!$A$2:$A$22,0)),""))</f>
        <v>13</v>
      </c>
    </row>
    <row r="11" spans="2:4" ht="32.1" customHeight="1" x14ac:dyDescent="0.25">
      <c r="B11" s="17">
        <v>2</v>
      </c>
      <c r="C11" s="9" t="s">
        <v>48</v>
      </c>
      <c r="D11" s="32">
        <f>IF(C11="","",IFERROR(INDEX(CALCULATIONS!$C$2:$C$22,MATCH(C11,CALCULATIONS!$A$2:$A$22,0)),""))</f>
        <v>8</v>
      </c>
    </row>
    <row r="12" spans="2:4" ht="32.1" customHeight="1" x14ac:dyDescent="0.25">
      <c r="B12" s="17">
        <v>3</v>
      </c>
      <c r="C12" s="9" t="s">
        <v>46</v>
      </c>
      <c r="D12" s="32">
        <f>IF(C12="","",IFERROR(INDEX(CALCULATIONS!$C$2:$C$22,MATCH(C12,CALCULATIONS!$A$2:$A$22,0)),""))</f>
        <v>9</v>
      </c>
    </row>
    <row r="13" spans="2:4" ht="32.1" customHeight="1" x14ac:dyDescent="0.25">
      <c r="B13" s="17">
        <v>4</v>
      </c>
      <c r="C13" s="9" t="s">
        <v>47</v>
      </c>
      <c r="D13" s="32">
        <f>IF(C13="","",IFERROR(INDEX(CALCULATIONS!$C$2:$C$22,MATCH(C13,CALCULATIONS!$A$2:$A$22,0)),""))</f>
        <v>11</v>
      </c>
    </row>
    <row r="14" spans="2:4" ht="32.1" customHeight="1" x14ac:dyDescent="0.25">
      <c r="B14" s="17">
        <v>5</v>
      </c>
      <c r="C14" s="9" t="s">
        <v>41</v>
      </c>
      <c r="D14" s="32">
        <f>IF(C14="","",IFERROR(INDEX(CALCULATIONS!$C$2:$C$22,MATCH(C14,CALCULATIONS!$A$2:$A$22,0)),""))</f>
        <v>7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48</v>
      </c>
    </row>
    <row r="18" spans="2:4" ht="30" customHeight="1" x14ac:dyDescent="0.25">
      <c r="B18" s="19" t="s">
        <v>165</v>
      </c>
      <c r="C18" s="34">
        <f>50-C17</f>
        <v>2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31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25" priority="1">
      <formula>C20="VALID TEAM"</formula>
    </cfRule>
    <cfRule type="expression" dxfId="24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300-000001000000}">
      <formula1>$C$10:$C$14</formula1>
    </dataValidation>
  </dataValidations>
  <hyperlinks>
    <hyperlink ref="B2" location="'PICK YOUR TEAM'!A1" display="← Back to PICK YOUR TEAM" xr:uid="{00000000-0004-0000-13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3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184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/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23" priority="1">
      <formula>C20="VALID TEAM"</formula>
    </cfRule>
    <cfRule type="expression" dxfId="22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400-000001000000}">
      <formula1>$C$10:$C$14</formula1>
    </dataValidation>
  </dataValidations>
  <hyperlinks>
    <hyperlink ref="B2" location="'PICK YOUR TEAM'!A1" display="← Back to PICK YOUR TEAM" xr:uid="{00000000-0004-0000-14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4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185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/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21" priority="1">
      <formula>C20="VALID TEAM"</formula>
    </cfRule>
    <cfRule type="expression" dxfId="20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500-000001000000}">
      <formula1>$C$10:$C$14</formula1>
    </dataValidation>
  </dataValidations>
  <hyperlinks>
    <hyperlink ref="B2" location="'PICK YOUR TEAM'!A1" display="← Back to PICK YOUR TEAM" xr:uid="{00000000-0004-0000-15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5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186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/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9" priority="1">
      <formula>C20="VALID TEAM"</formula>
    </cfRule>
    <cfRule type="expression" dxfId="18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600-000001000000}">
      <formula1>$C$10:$C$14</formula1>
    </dataValidation>
  </dataValidations>
  <hyperlinks>
    <hyperlink ref="B2" location="'PICK YOUR TEAM'!A1" display="← Back to PICK YOUR TEAM" xr:uid="{00000000-0004-0000-16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6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187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43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43</v>
      </c>
      <c r="D10" s="32">
        <f>IF(C10="","",IFERROR(INDEX(CALCULATIONS!$C$2:$C$22,MATCH(C10,CALCULATIONS!$A$2:$A$22,0)),""))</f>
        <v>11</v>
      </c>
    </row>
    <row r="11" spans="2:4" ht="32.1" customHeight="1" x14ac:dyDescent="0.25">
      <c r="B11" s="17">
        <v>2</v>
      </c>
      <c r="C11" s="9" t="s">
        <v>50</v>
      </c>
      <c r="D11" s="32">
        <f>IF(C11="","",IFERROR(INDEX(CALCULATIONS!$C$2:$C$22,MATCH(C11,CALCULATIONS!$A$2:$A$22,0)),""))</f>
        <v>10.5</v>
      </c>
    </row>
    <row r="12" spans="2:4" ht="32.1" customHeight="1" x14ac:dyDescent="0.25">
      <c r="B12" s="17">
        <v>3</v>
      </c>
      <c r="C12" s="9" t="s">
        <v>39</v>
      </c>
      <c r="D12" s="32">
        <f>IF(C12="","",IFERROR(INDEX(CALCULATIONS!$C$2:$C$22,MATCH(C12,CALCULATIONS!$A$2:$A$22,0)),""))</f>
        <v>7.5</v>
      </c>
    </row>
    <row r="13" spans="2:4" ht="32.1" customHeight="1" x14ac:dyDescent="0.25">
      <c r="B13" s="17">
        <v>4</v>
      </c>
      <c r="C13" s="9" t="s">
        <v>51</v>
      </c>
      <c r="D13" s="32">
        <f>IF(C13="","",IFERROR(INDEX(CALCULATIONS!$C$2:$C$22,MATCH(C13,CALCULATIONS!$A$2:$A$22,0)),""))</f>
        <v>13</v>
      </c>
    </row>
    <row r="14" spans="2:4" ht="32.1" customHeight="1" x14ac:dyDescent="0.25">
      <c r="B14" s="17">
        <v>5</v>
      </c>
      <c r="C14" s="9" t="s">
        <v>54</v>
      </c>
      <c r="D14" s="32">
        <f>IF(C14="","",IFERROR(INDEX(CALCULATIONS!$C$2:$C$22,MATCH(C14,CALCULATIONS!$A$2:$A$22,0)),""))</f>
        <v>8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15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7" priority="1">
      <formula>C20="VALID TEAM"</formula>
    </cfRule>
    <cfRule type="expression" dxfId="16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700-000001000000}">
      <formula1>$C$10:$C$14</formula1>
    </dataValidation>
  </dataValidations>
  <hyperlinks>
    <hyperlink ref="B2" location="'PICK YOUR TEAM'!A1" display="← Back to PICK YOUR TEAM" xr:uid="{00000000-0004-0000-17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7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188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/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5" priority="1">
      <formula>C20="VALID TEAM"</formula>
    </cfRule>
    <cfRule type="expression" dxfId="14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800-000001000000}">
      <formula1>$C$10:$C$14</formula1>
    </dataValidation>
  </dataValidations>
  <hyperlinks>
    <hyperlink ref="B2" location="'PICK YOUR TEAM'!A1" display="← Back to PICK YOUR TEAM" xr:uid="{00000000-0004-0000-18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8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189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51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51</v>
      </c>
      <c r="D10" s="32">
        <f>IF(C10="","",IFERROR(INDEX(CALCULATIONS!$C$2:$C$22,MATCH(C10,CALCULATIONS!$A$2:$A$22,0)),""))</f>
        <v>13</v>
      </c>
    </row>
    <row r="11" spans="2:4" ht="32.1" customHeight="1" x14ac:dyDescent="0.25">
      <c r="B11" s="17">
        <v>2</v>
      </c>
      <c r="C11" s="9" t="s">
        <v>46</v>
      </c>
      <c r="D11" s="32">
        <f>IF(C11="","",IFERROR(INDEX(CALCULATIONS!$C$2:$C$22,MATCH(C11,CALCULATIONS!$A$2:$A$22,0)),""))</f>
        <v>9</v>
      </c>
    </row>
    <row r="12" spans="2:4" ht="32.1" customHeight="1" x14ac:dyDescent="0.25">
      <c r="B12" s="17">
        <v>3</v>
      </c>
      <c r="C12" s="9" t="s">
        <v>55</v>
      </c>
      <c r="D12" s="32">
        <f>IF(C12="","",IFERROR(INDEX(CALCULATIONS!$C$2:$C$22,MATCH(C12,CALCULATIONS!$A$2:$A$22,0)),""))</f>
        <v>9.5</v>
      </c>
    </row>
    <row r="13" spans="2:4" ht="32.1" customHeight="1" x14ac:dyDescent="0.25">
      <c r="B13" s="17">
        <v>4</v>
      </c>
      <c r="C13" s="9" t="s">
        <v>50</v>
      </c>
      <c r="D13" s="32">
        <f>IF(C13="","",IFERROR(INDEX(CALCULATIONS!$C$2:$C$22,MATCH(C13,CALCULATIONS!$A$2:$A$22,0)),""))</f>
        <v>10.5</v>
      </c>
    </row>
    <row r="14" spans="2:4" ht="32.1" customHeight="1" x14ac:dyDescent="0.25">
      <c r="B14" s="17">
        <v>5</v>
      </c>
      <c r="C14" s="9" t="s">
        <v>58</v>
      </c>
      <c r="D14" s="32">
        <f>IF(C14="","",IFERROR(INDEX(CALCULATIONS!$C$2:$C$22,MATCH(C14,CALCULATIONS!$A$2:$A$22,0)),""))</f>
        <v>7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49</v>
      </c>
    </row>
    <row r="18" spans="2:4" ht="30" customHeight="1" x14ac:dyDescent="0.25">
      <c r="B18" s="19" t="s">
        <v>165</v>
      </c>
      <c r="C18" s="34">
        <f>50-C17</f>
        <v>1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11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3" priority="1">
      <formula>C20="VALID TEAM"</formula>
    </cfRule>
    <cfRule type="expression" dxfId="12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900-000001000000}">
      <formula1>$C$10:$C$14</formula1>
    </dataValidation>
  </dataValidations>
  <hyperlinks>
    <hyperlink ref="B2" location="'PICK YOUR TEAM'!A1" display="← Back to PICK YOUR TEAM" xr:uid="{00000000-0004-0000-19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9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190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/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1" priority="1">
      <formula>C20="VALID TEAM"</formula>
    </cfRule>
    <cfRule type="expression" dxfId="10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A00-000001000000}">
      <formula1>$C$10:$C$14</formula1>
    </dataValidation>
  </dataValidations>
  <hyperlinks>
    <hyperlink ref="B2" location="'PICK YOUR TEAM'!A1" display="← Back to PICK YOUR TEAM" xr:uid="{00000000-0004-0000-1A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A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191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50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54</v>
      </c>
      <c r="D10" s="32">
        <f>IF(C10="","",IFERROR(INDEX(CALCULATIONS!$C$2:$C$22,MATCH(C10,CALCULATIONS!$A$2:$A$22,0)),""))</f>
        <v>8</v>
      </c>
    </row>
    <row r="11" spans="2:4" ht="32.1" customHeight="1" x14ac:dyDescent="0.25">
      <c r="B11" s="17">
        <v>2</v>
      </c>
      <c r="C11" s="9" t="s">
        <v>43</v>
      </c>
      <c r="D11" s="32">
        <f>IF(C11="","",IFERROR(INDEX(CALCULATIONS!$C$2:$C$22,MATCH(C11,CALCULATIONS!$A$2:$A$22,0)),""))</f>
        <v>11</v>
      </c>
    </row>
    <row r="12" spans="2:4" ht="32.1" customHeight="1" x14ac:dyDescent="0.25">
      <c r="B12" s="17">
        <v>3</v>
      </c>
      <c r="C12" s="9" t="s">
        <v>53</v>
      </c>
      <c r="D12" s="32">
        <f>IF(C12="","",IFERROR(INDEX(CALCULATIONS!$C$2:$C$22,MATCH(C12,CALCULATIONS!$A$2:$A$22,0)),""))</f>
        <v>10</v>
      </c>
    </row>
    <row r="13" spans="2:4" ht="32.1" customHeight="1" x14ac:dyDescent="0.25">
      <c r="B13" s="17">
        <v>4</v>
      </c>
      <c r="C13" s="9" t="s">
        <v>45</v>
      </c>
      <c r="D13" s="32">
        <f>IF(C13="","",IFERROR(INDEX(CALCULATIONS!$C$2:$C$22,MATCH(C13,CALCULATIONS!$A$2:$A$22,0)),""))</f>
        <v>10.5</v>
      </c>
    </row>
    <row r="14" spans="2:4" ht="32.1" customHeight="1" x14ac:dyDescent="0.25">
      <c r="B14" s="17">
        <v>5</v>
      </c>
      <c r="C14" s="9" t="s">
        <v>50</v>
      </c>
      <c r="D14" s="32">
        <f>IF(C14="","",IFERROR(INDEX(CALCULATIONS!$C$2:$C$22,MATCH(C14,CALCULATIONS!$A$2:$A$22,0)),""))</f>
        <v>10.5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17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9" priority="1">
      <formula>C20="VALID TEAM"</formula>
    </cfRule>
    <cfRule type="expression" dxfId="8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B00-000001000000}">
      <formula1>$C$10:$C$14</formula1>
    </dataValidation>
  </dataValidations>
  <hyperlinks>
    <hyperlink ref="B2" location="'PICK YOUR TEAM'!A1" display="← Back to PICK YOUR TEAM" xr:uid="{00000000-0004-0000-1B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B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192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/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7" priority="1">
      <formula>C20="VALID TEAM"</formula>
    </cfRule>
    <cfRule type="expression" dxfId="6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C00-000001000000}">
      <formula1>$C$10:$C$14</formula1>
    </dataValidation>
  </dataValidations>
  <hyperlinks>
    <hyperlink ref="B2" location="'PICK YOUR TEAM'!A1" display="← Back to PICK YOUR TEAM" xr:uid="{00000000-0004-0000-1C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C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193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51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45</v>
      </c>
      <c r="D10" s="32">
        <f>IF(C10="","",IFERROR(INDEX(CALCULATIONS!$C$2:$C$22,MATCH(C10,CALCULATIONS!$A$2:$A$22,0)),""))</f>
        <v>10.5</v>
      </c>
    </row>
    <row r="11" spans="2:4" ht="32.1" customHeight="1" x14ac:dyDescent="0.25">
      <c r="B11" s="17">
        <v>2</v>
      </c>
      <c r="C11" s="9" t="s">
        <v>41</v>
      </c>
      <c r="D11" s="32">
        <f>IF(C11="","",IFERROR(INDEX(CALCULATIONS!$C$2:$C$22,MATCH(C11,CALCULATIONS!$A$2:$A$22,0)),""))</f>
        <v>7</v>
      </c>
    </row>
    <row r="12" spans="2:4" ht="32.1" customHeight="1" x14ac:dyDescent="0.25">
      <c r="B12" s="17">
        <v>3</v>
      </c>
      <c r="C12" s="9" t="s">
        <v>40</v>
      </c>
      <c r="D12" s="32">
        <f>IF(C12="","",IFERROR(INDEX(CALCULATIONS!$C$2:$C$22,MATCH(C12,CALCULATIONS!$A$2:$A$22,0)),""))</f>
        <v>10.5</v>
      </c>
    </row>
    <row r="13" spans="2:4" ht="32.1" customHeight="1" x14ac:dyDescent="0.25">
      <c r="B13" s="17">
        <v>4</v>
      </c>
      <c r="C13" s="9" t="s">
        <v>46</v>
      </c>
      <c r="D13" s="32">
        <f>IF(C13="","",IFERROR(INDEX(CALCULATIONS!$C$2:$C$22,MATCH(C13,CALCULATIONS!$A$2:$A$22,0)),""))</f>
        <v>9</v>
      </c>
    </row>
    <row r="14" spans="2:4" ht="32.1" customHeight="1" x14ac:dyDescent="0.25">
      <c r="B14" s="17">
        <v>5</v>
      </c>
      <c r="C14" s="9" t="s">
        <v>51</v>
      </c>
      <c r="D14" s="32">
        <f>IF(C14="","",IFERROR(INDEX(CALCULATIONS!$C$2:$C$22,MATCH(C14,CALCULATIONS!$A$2:$A$22,0)),""))</f>
        <v>13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23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5" priority="1">
      <formula>C20="VALID TEAM"</formula>
    </cfRule>
    <cfRule type="expression" dxfId="4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D00-000001000000}">
      <formula1>$C$10:$C$14</formula1>
    </dataValidation>
  </dataValidations>
  <hyperlinks>
    <hyperlink ref="B2" location="'PICK YOUR TEAM'!A1" display="← Back to PICK YOUR TEAM" xr:uid="{00000000-0004-0000-1D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D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194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/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" priority="1">
      <formula>C20="VALID TEAM"</formula>
    </cfRule>
    <cfRule type="expression" dxfId="2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E00-000001000000}">
      <formula1>$C$10:$C$14</formula1>
    </dataValidation>
  </dataValidations>
  <hyperlinks>
    <hyperlink ref="B2" location="'PICK YOUR TEAM'!A1" display="← Back to PICK YOUR TEAM" xr:uid="{00000000-0004-0000-1E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E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42" t="s">
        <v>195</v>
      </c>
      <c r="C1" s="38"/>
      <c r="D1" s="38"/>
    </row>
    <row r="2" spans="2:4" ht="30" customHeight="1" x14ac:dyDescent="0.25">
      <c r="B2" s="52" t="s">
        <v>168</v>
      </c>
      <c r="C2" s="38"/>
      <c r="D2" s="38"/>
    </row>
    <row r="3" spans="2:4" ht="12" customHeight="1" x14ac:dyDescent="0.25"/>
    <row r="4" spans="2:4" ht="32.1" customHeight="1" x14ac:dyDescent="0.25">
      <c r="B4" s="40" t="s">
        <v>169</v>
      </c>
      <c r="C4" s="38"/>
      <c r="D4" s="38"/>
    </row>
    <row r="5" spans="2:4" ht="33.950000000000003" customHeight="1" x14ac:dyDescent="0.25">
      <c r="C5" s="33" t="s">
        <v>51</v>
      </c>
    </row>
    <row r="6" spans="2:4" ht="24" customHeight="1" x14ac:dyDescent="0.25">
      <c r="B6" s="46" t="s">
        <v>170</v>
      </c>
      <c r="C6" s="38"/>
      <c r="D6" s="38"/>
    </row>
    <row r="7" spans="2:4" ht="12" customHeight="1" x14ac:dyDescent="0.25"/>
    <row r="8" spans="2:4" ht="32.1" customHeight="1" x14ac:dyDescent="0.25">
      <c r="B8" s="40" t="s">
        <v>171</v>
      </c>
      <c r="C8" s="38"/>
      <c r="D8" s="38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51</v>
      </c>
      <c r="D10" s="32">
        <f>IF(C10="","",IFERROR(INDEX(CALCULATIONS!$C$2:$C$22,MATCH(C10,CALCULATIONS!$A$2:$A$22,0)),""))</f>
        <v>13</v>
      </c>
    </row>
    <row r="11" spans="2:4" ht="32.1" customHeight="1" x14ac:dyDescent="0.25">
      <c r="B11" s="17">
        <v>2</v>
      </c>
      <c r="C11" s="9" t="s">
        <v>45</v>
      </c>
      <c r="D11" s="32">
        <f>IF(C11="","",IFERROR(INDEX(CALCULATIONS!$C$2:$C$22,MATCH(C11,CALCULATIONS!$A$2:$A$22,0)),""))</f>
        <v>10.5</v>
      </c>
    </row>
    <row r="12" spans="2:4" ht="32.1" customHeight="1" x14ac:dyDescent="0.25">
      <c r="B12" s="17">
        <v>3</v>
      </c>
      <c r="C12" s="9" t="s">
        <v>41</v>
      </c>
      <c r="D12" s="32">
        <f>IF(C12="","",IFERROR(INDEX(CALCULATIONS!$C$2:$C$22,MATCH(C12,CALCULATIONS!$A$2:$A$22,0)),""))</f>
        <v>7</v>
      </c>
    </row>
    <row r="13" spans="2:4" ht="32.1" customHeight="1" x14ac:dyDescent="0.25">
      <c r="B13" s="17">
        <v>4</v>
      </c>
      <c r="C13" s="9" t="s">
        <v>50</v>
      </c>
      <c r="D13" s="32">
        <f>IF(C13="","",IFERROR(INDEX(CALCULATIONS!$C$2:$C$22,MATCH(C13,CALCULATIONS!$A$2:$A$22,0)),""))</f>
        <v>10.5</v>
      </c>
    </row>
    <row r="14" spans="2:4" ht="32.1" customHeight="1" x14ac:dyDescent="0.25">
      <c r="B14" s="17">
        <v>5</v>
      </c>
      <c r="C14" s="9" t="s">
        <v>52</v>
      </c>
      <c r="D14" s="32">
        <f>IF(C14="","",IFERROR(INDEX(CALCULATIONS!$C$2:$C$22,MATCH(C14,CALCULATIONS!$A$2:$A$22,0)),""))</f>
        <v>8.5</v>
      </c>
    </row>
    <row r="15" spans="2:4" ht="12" customHeight="1" x14ac:dyDescent="0.25"/>
    <row r="16" spans="2:4" ht="32.1" customHeight="1" x14ac:dyDescent="0.25">
      <c r="B16" s="40" t="s">
        <v>173</v>
      </c>
      <c r="C16" s="38"/>
      <c r="D16" s="38"/>
    </row>
    <row r="17" spans="2:4" ht="30" customHeight="1" x14ac:dyDescent="0.25">
      <c r="B17" s="19" t="s">
        <v>164</v>
      </c>
      <c r="C17" s="34">
        <f>SUM(D10:D14)</f>
        <v>49.5</v>
      </c>
    </row>
    <row r="18" spans="2:4" ht="30" customHeight="1" x14ac:dyDescent="0.25">
      <c r="B18" s="19" t="s">
        <v>165</v>
      </c>
      <c r="C18" s="34">
        <f>50-C17</f>
        <v>0.5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24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8" t="s">
        <v>175</v>
      </c>
      <c r="C22" s="38"/>
      <c r="D22" s="38"/>
    </row>
    <row r="23" spans="2:4" x14ac:dyDescent="0.25">
      <c r="B23" s="38"/>
      <c r="C23" s="38"/>
      <c r="D23" s="38"/>
    </row>
    <row r="24" spans="2:4" x14ac:dyDescent="0.25">
      <c r="B24" s="38"/>
      <c r="C24" s="38"/>
      <c r="D24" s="38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" priority="1">
      <formula>C20="VALID TEAM"</formula>
    </cfRule>
    <cfRule type="expression" dxfId="0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F00-000001000000}">
      <formula1>$C$10:$C$14</formula1>
    </dataValidation>
  </dataValidations>
  <hyperlinks>
    <hyperlink ref="B2" location="'PICK YOUR TEAM'!A1" display="← Back to PICK YOUR TEAM" xr:uid="{00000000-0004-0000-1F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F00-000000000000}">
          <x14:formula1>
            <xm:f>CALCULATIONS!$A$2:$A$22</xm:f>
          </x14:formula1>
          <xm:sqref>C10:C14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HOME</vt:lpstr>
      <vt:lpstr>PICK YOUR TEAM</vt:lpstr>
      <vt:lpstr>TEST RESULTS</vt:lpstr>
      <vt:lpstr>PLAYER MARKET</vt:lpstr>
      <vt:lpstr>2. Overall Leaderboard</vt:lpstr>
      <vt:lpstr>3. GW Leaderboard</vt:lpstr>
      <vt:lpstr>RULES</vt:lpstr>
      <vt:lpstr>SETTINGS</vt:lpstr>
      <vt:lpstr>MASTER DATA</vt:lpstr>
      <vt:lpstr>RAW RESULTS</vt:lpstr>
      <vt:lpstr>CALCULATIONS</vt:lpstr>
      <vt:lpstr>Alexa Amesimeku</vt:lpstr>
      <vt:lpstr>Alfie Foley</vt:lpstr>
      <vt:lpstr>Alyza Rai</vt:lpstr>
      <vt:lpstr>Ava Swinfen</vt:lpstr>
      <vt:lpstr>Azlan Husain</vt:lpstr>
      <vt:lpstr>Chinedu Chile</vt:lpstr>
      <vt:lpstr>Daniel Liu</vt:lpstr>
      <vt:lpstr>David Wu</vt:lpstr>
      <vt:lpstr>Edwin Mayers</vt:lpstr>
      <vt:lpstr>Emily Warburton</vt:lpstr>
      <vt:lpstr>Esme Beston</vt:lpstr>
      <vt:lpstr>Iona Smith</vt:lpstr>
      <vt:lpstr>Joe Paige</vt:lpstr>
      <vt:lpstr>Lia Li</vt:lpstr>
      <vt:lpstr>Melody Zhaeentan</vt:lpstr>
      <vt:lpstr>Nina De Saram</vt:lpstr>
      <vt:lpstr>Oscar Day-Duran</vt:lpstr>
      <vt:lpstr>Rebecca Seymour</vt:lpstr>
      <vt:lpstr>Rory Bowman</vt:lpstr>
      <vt:lpstr>Sophie Barker</vt:lpstr>
      <vt:lpstr>Xander Meijer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Chinedu Chile</cp:lastModifiedBy>
  <dcterms:created xsi:type="dcterms:W3CDTF">2026-10-01T18:54:29Z</dcterms:created>
  <dcterms:modified xsi:type="dcterms:W3CDTF">2026-10-01T19:37:16Z</dcterms:modified>
</cp:coreProperties>
</file>
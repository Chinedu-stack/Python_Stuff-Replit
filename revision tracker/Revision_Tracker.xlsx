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948b5d172b360b34/Python Stuff/revision tracker/"/>
    </mc:Choice>
  </mc:AlternateContent>
  <xr:revisionPtr revIDLastSave="154" documentId="8_{DFEBF892-2F2B-4BD5-A7A6-E815B59096B3}" xr6:coauthVersionLast="47" xr6:coauthVersionMax="47" xr10:uidLastSave="{FA3F96FF-E054-4AF0-AF3B-5A09D5009A2B}"/>
  <bookViews>
    <workbookView xWindow="-120" yWindow="-120" windowWidth="29040" windowHeight="15720" firstSheet="1" activeTab="1" xr2:uid="{00000000-000D-0000-FFFF-FFFF00000000}"/>
  </bookViews>
  <sheets>
    <sheet name="Revision Timetable" sheetId="13" r:id="rId1"/>
    <sheet name="Dashboard" sheetId="1" r:id="rId2"/>
    <sheet name="Biology" sheetId="2" r:id="rId3"/>
    <sheet name="Chemistry" sheetId="3" r:id="rId4"/>
    <sheet name="Physics" sheetId="4" r:id="rId5"/>
    <sheet name="Mathematics" sheetId="5" r:id="rId6"/>
    <sheet name="English Language" sheetId="6" r:id="rId7"/>
    <sheet name="English Literature" sheetId="7" r:id="rId8"/>
    <sheet name="Geography" sheetId="8" r:id="rId9"/>
    <sheet name="History" sheetId="9" r:id="rId10"/>
    <sheet name="Spanish" sheetId="10" r:id="rId11"/>
    <sheet name="Computer Science" sheetId="11" r:id="rId12"/>
    <sheet name="Settings" sheetId="12" r:id="rId13"/>
  </sheets>
  <definedNames>
    <definedName name="Subjects">Dashboard!$N$2:$N$11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7" i="1" l="1"/>
  <c r="E27" i="1"/>
  <c r="C27" i="1"/>
  <c r="A27" i="1"/>
  <c r="J15" i="1"/>
  <c r="J23" i="1"/>
  <c r="J22" i="1"/>
  <c r="J21" i="1"/>
  <c r="J20" i="1"/>
  <c r="J19" i="1"/>
  <c r="J18" i="1"/>
  <c r="J17" i="1"/>
  <c r="J16" i="1"/>
  <c r="J14" i="1"/>
  <c r="H23" i="1"/>
  <c r="G23" i="1"/>
  <c r="F23" i="1"/>
  <c r="E23" i="1"/>
  <c r="I23" i="1" s="1"/>
  <c r="D23" i="1"/>
  <c r="B23" i="1"/>
  <c r="C23" i="1" s="1"/>
  <c r="H22" i="1"/>
  <c r="G22" i="1"/>
  <c r="F22" i="1"/>
  <c r="E22" i="1"/>
  <c r="I22" i="1" s="1"/>
  <c r="D22" i="1"/>
  <c r="B22" i="1"/>
  <c r="C22" i="1" s="1"/>
  <c r="H21" i="1"/>
  <c r="G21" i="1"/>
  <c r="F21" i="1"/>
  <c r="E21" i="1"/>
  <c r="I21" i="1" s="1"/>
  <c r="D21" i="1"/>
  <c r="B21" i="1"/>
  <c r="C21" i="1" s="1"/>
  <c r="H20" i="1"/>
  <c r="G20" i="1"/>
  <c r="F20" i="1"/>
  <c r="E20" i="1"/>
  <c r="I20" i="1" s="1"/>
  <c r="D20" i="1"/>
  <c r="B20" i="1"/>
  <c r="C20" i="1" s="1"/>
  <c r="H19" i="1"/>
  <c r="G19" i="1"/>
  <c r="F19" i="1"/>
  <c r="E19" i="1"/>
  <c r="I19" i="1" s="1"/>
  <c r="D19" i="1"/>
  <c r="B19" i="1"/>
  <c r="C19" i="1" s="1"/>
  <c r="H18" i="1"/>
  <c r="G18" i="1"/>
  <c r="F18" i="1"/>
  <c r="E18" i="1"/>
  <c r="I18" i="1" s="1"/>
  <c r="D18" i="1"/>
  <c r="B18" i="1"/>
  <c r="C18" i="1" s="1"/>
  <c r="H17" i="1"/>
  <c r="G17" i="1"/>
  <c r="F17" i="1"/>
  <c r="E17" i="1"/>
  <c r="I17" i="1" s="1"/>
  <c r="D17" i="1"/>
  <c r="B17" i="1"/>
  <c r="C17" i="1" s="1"/>
  <c r="H16" i="1"/>
  <c r="G16" i="1"/>
  <c r="F16" i="1"/>
  <c r="E16" i="1"/>
  <c r="I16" i="1" s="1"/>
  <c r="D16" i="1"/>
  <c r="B16" i="1"/>
  <c r="C16" i="1" s="1"/>
  <c r="H15" i="1"/>
  <c r="G15" i="1"/>
  <c r="F15" i="1"/>
  <c r="E15" i="1"/>
  <c r="I15" i="1" s="1"/>
  <c r="D15" i="1"/>
  <c r="B15" i="1"/>
  <c r="C15" i="1" s="1"/>
  <c r="H14" i="1"/>
  <c r="G14" i="1"/>
  <c r="F14" i="1"/>
  <c r="E14" i="1"/>
  <c r="I14" i="1" s="1"/>
  <c r="D14" i="1"/>
  <c r="B14" i="1"/>
  <c r="C14" i="1" s="1"/>
  <c r="C9" i="1"/>
  <c r="A9" i="1"/>
  <c r="G6" i="1"/>
  <c r="E6" i="1"/>
  <c r="A6" i="1"/>
  <c r="C6" i="1" s="1"/>
  <c r="E28" i="1" l="1"/>
  <c r="A28" i="1"/>
  <c r="AD27" i="1"/>
  <c r="G28" i="1"/>
  <c r="AC27" i="1"/>
  <c r="AB27" i="1"/>
  <c r="C28" i="1"/>
  <c r="AA27" i="1"/>
</calcChain>
</file>

<file path=xl/sharedStrings.xml><?xml version="1.0" encoding="utf-8"?>
<sst xmlns="http://schemas.openxmlformats.org/spreadsheetml/2006/main" count="351" uniqueCount="152">
  <si>
    <t>🗓️ Week 1 Timetable</t>
  </si>
  <si>
    <t>🗓️ Week 2 Timetable</t>
  </si>
  <si>
    <t>Day</t>
  </si>
  <si>
    <t>Session 1</t>
  </si>
  <si>
    <t>Session 2</t>
  </si>
  <si>
    <t>Session 3</t>
  </si>
  <si>
    <t>Session 4</t>
  </si>
  <si>
    <t>Monday</t>
  </si>
  <si>
    <t>Physics</t>
  </si>
  <si>
    <t>English Literature</t>
  </si>
  <si>
    <t>History</t>
  </si>
  <si>
    <t>Spanish</t>
  </si>
  <si>
    <t>Geography</t>
  </si>
  <si>
    <t>Tuesday</t>
  </si>
  <si>
    <t>Chemistry</t>
  </si>
  <si>
    <t>Computer Science</t>
  </si>
  <si>
    <t>English Language</t>
  </si>
  <si>
    <t>Biology</t>
  </si>
  <si>
    <t>Wednesday</t>
  </si>
  <si>
    <t>Mathematics</t>
  </si>
  <si>
    <t>Thursday</t>
  </si>
  <si>
    <t>Friday</t>
  </si>
  <si>
    <t>Saturday</t>
  </si>
  <si>
    <t>-</t>
  </si>
  <si>
    <t>Sunday</t>
  </si>
  <si>
    <t xml:space="preserve">  GCSE Revision Tracker — Dashboard</t>
  </si>
  <si>
    <t>Subject list (helper)</t>
  </si>
  <si>
    <t>📊  Overall Progress</t>
  </si>
  <si>
    <t>Total topics</t>
  </si>
  <si>
    <t>Not Started</t>
  </si>
  <si>
    <t>In Progress</t>
  </si>
  <si>
    <t>Completed</t>
  </si>
  <si>
    <t>Amber</t>
  </si>
  <si>
    <t>Red</t>
  </si>
  <si>
    <t>📚  Progress by Subject</t>
  </si>
  <si>
    <t>Subject</t>
  </si>
  <si>
    <t>Total Topics</t>
  </si>
  <si>
    <t>Green</t>
  </si>
  <si>
    <t>Last Revised</t>
  </si>
  <si>
    <t>🎯 Today's Focus</t>
  </si>
  <si>
    <t xml:space="preserve">  Biology</t>
  </si>
  <si>
    <t>&lt; Return to Dashboard</t>
  </si>
  <si>
    <t>Topic</t>
  </si>
  <si>
    <t>Status</t>
  </si>
  <si>
    <t>Confidence</t>
  </si>
  <si>
    <t>Next Action</t>
  </si>
  <si>
    <t>General Notes</t>
  </si>
  <si>
    <r>
      <rPr>
        <b/>
        <sz val="11"/>
        <color theme="1"/>
        <rFont val="Calibri"/>
        <family val="2"/>
        <scheme val="minor"/>
      </rPr>
      <t>Group 1</t>
    </r>
    <r>
      <rPr>
        <sz val="11"/>
        <color theme="1"/>
        <rFont val="Calibri"/>
        <family val="2"/>
        <scheme val="minor"/>
      </rPr>
      <t>:
Characteristics of living organisms
Levels of organisation
Cell structure
Variety of living organisms</t>
    </r>
  </si>
  <si>
    <t>Alright we are done. First Bit of bio revision done :)</t>
  </si>
  <si>
    <t>next up do a chatgpt go over of group 4 and group 7. Then do a chatgpt quiz</t>
  </si>
  <si>
    <r>
      <rPr>
        <b/>
        <sz val="11"/>
        <color rgb="FF000000"/>
        <rFont val="Calibri"/>
        <scheme val="minor"/>
      </rPr>
      <t xml:space="preserve">Group 2:
</t>
    </r>
    <r>
      <rPr>
        <sz val="11"/>
        <color rgb="FF000000"/>
        <rFont val="Calibri"/>
        <scheme val="minor"/>
      </rPr>
      <t>Movements of molecules
Biological molecules
Movement of substances</t>
    </r>
  </si>
  <si>
    <t>Chill session. Its all in the long term knowledge</t>
  </si>
  <si>
    <r>
      <rPr>
        <b/>
        <sz val="11"/>
        <color rgb="FF000000"/>
        <rFont val="Calibri"/>
        <scheme val="minor"/>
      </rPr>
      <t xml:space="preserve">Group 3:
</t>
    </r>
    <r>
      <rPr>
        <sz val="11"/>
        <color rgb="FF000000"/>
        <rFont val="Calibri"/>
        <scheme val="minor"/>
      </rPr>
      <t>Transport in plants
Nutrition in plants
Gas exchange in plants
Reproduction in plants</t>
    </r>
  </si>
  <si>
    <t>Chill session. everything is chill</t>
  </si>
  <si>
    <r>
      <rPr>
        <b/>
        <sz val="11"/>
        <color theme="1"/>
        <rFont val="Calibri"/>
        <family val="2"/>
        <scheme val="minor"/>
      </rPr>
      <t>Group 4:</t>
    </r>
    <r>
      <rPr>
        <sz val="11"/>
        <color theme="1"/>
        <rFont val="Calibri"/>
        <family val="2"/>
        <scheme val="minor"/>
      </rPr>
      <t xml:space="preserve">
Respiration
Gas exchange in humans</t>
    </r>
  </si>
  <si>
    <r>
      <rPr>
        <b/>
        <sz val="11"/>
        <color theme="1"/>
        <rFont val="Calibri"/>
        <family val="2"/>
        <scheme val="minor"/>
      </rPr>
      <t>Group 5</t>
    </r>
    <r>
      <rPr>
        <sz val="11"/>
        <color theme="1"/>
        <rFont val="Calibri"/>
        <family val="2"/>
        <scheme val="minor"/>
      </rPr>
      <t>:
Excretion
Human Reproduction</t>
    </r>
  </si>
  <si>
    <r>
      <rPr>
        <b/>
        <sz val="11"/>
        <color theme="1"/>
        <rFont val="Calibri"/>
        <family val="2"/>
        <scheme val="minor"/>
      </rPr>
      <t>Group 6:</t>
    </r>
    <r>
      <rPr>
        <sz val="11"/>
        <color theme="1"/>
        <rFont val="Calibri"/>
        <family val="2"/>
        <scheme val="minor"/>
      </rPr>
      <t xml:space="preserve">
Co-ordination and response
Transport in Humans
Nutrition in humans</t>
    </r>
  </si>
  <si>
    <r>
      <rPr>
        <b/>
        <sz val="11"/>
        <color theme="1"/>
        <rFont val="Calibri"/>
        <family val="2"/>
        <scheme val="minor"/>
      </rPr>
      <t xml:space="preserve">Group 7: </t>
    </r>
    <r>
      <rPr>
        <sz val="11"/>
        <color theme="1"/>
        <rFont val="Calibri"/>
        <family val="2"/>
        <scheme val="minor"/>
      </rPr>
      <t xml:space="preserve">
Inheritance
</t>
    </r>
  </si>
  <si>
    <r>
      <rPr>
        <b/>
        <sz val="11"/>
        <color theme="1"/>
        <rFont val="Calibri"/>
        <family val="2"/>
        <scheme val="minor"/>
      </rPr>
      <t xml:space="preserve">Group 8: </t>
    </r>
    <r>
      <rPr>
        <sz val="11"/>
        <color theme="1"/>
        <rFont val="Calibri"/>
        <family val="2"/>
        <scheme val="minor"/>
      </rPr>
      <t xml:space="preserve">
Organisms in the environment
Human Influences
Feeding relationships
Cycles within ecosystems</t>
    </r>
  </si>
  <si>
    <t xml:space="preserve">  Chemistry</t>
  </si>
  <si>
    <t>Principals of Chemistry  1a - 1e</t>
  </si>
  <si>
    <t>Complete</t>
  </si>
  <si>
    <t>Next session you will complete inorganics part 2 and energetics</t>
  </si>
  <si>
    <t>Bonding  1f - 1h</t>
  </si>
  <si>
    <t>SO easy very chill</t>
  </si>
  <si>
    <t>Inorganic Chem part 1 - 1a - 1d</t>
  </si>
  <si>
    <t>calm. i know this stuff</t>
  </si>
  <si>
    <t>Inorganic Chem part 2 - 1e - 1g</t>
  </si>
  <si>
    <t>Energetics</t>
  </si>
  <si>
    <t>Rates of Reaction</t>
  </si>
  <si>
    <t>Reversible reaction and equilbria</t>
  </si>
  <si>
    <t xml:space="preserve">y10 Organics </t>
  </si>
  <si>
    <t>y11 Organics</t>
  </si>
  <si>
    <t>Full Mock Past Papers</t>
  </si>
  <si>
    <t xml:space="preserve">  Physics</t>
  </si>
  <si>
    <t>9.1 Measuring waves + 10.1 Properties of waves &amp; EM Spectrum</t>
  </si>
  <si>
    <t>When doing a review session just do a little chatgpt quiz to finish up the rest of this topic.</t>
  </si>
  <si>
    <t>Lets try do 9.5, 10.3, 10.7 next. All revise using chatgpt. Go over content then do big practise quiz with chatgtt. We are trying to get through all the content early so we can specialise later</t>
  </si>
  <si>
    <t>9.2 Electrostatics and electrical current</t>
  </si>
  <si>
    <t>Practise examination questions</t>
  </si>
  <si>
    <t>9.3 Mains electricity + 10.4 Electrical circuits</t>
  </si>
  <si>
    <t>9.4 Astronomy</t>
  </si>
  <si>
    <t>9.5 Measuring motion + 10.3 Unbalanced forces and acceleration</t>
  </si>
  <si>
    <t>9.6 Magnetism and electromagnets + 10.6 Electromagnetism</t>
  </si>
  <si>
    <t>9.7 Energy types and energy resources + 10.2 Energy transfer, work and power</t>
  </si>
  <si>
    <t>9.8 Density and pressure + 10.5 Pressure in Liquids and Ideal Gases</t>
  </si>
  <si>
    <t>10.7 Thermal energy and Change of State</t>
  </si>
  <si>
    <t>11.1 Radioactivity</t>
  </si>
  <si>
    <t>11.2 Forces, Momentum &amp; Moments</t>
  </si>
  <si>
    <t xml:space="preserve">  Mathematics</t>
  </si>
  <si>
    <t>Do Lots of Past Papers</t>
  </si>
  <si>
    <t xml:space="preserve">1. Finish of doing summer 2012 paper 1 on onenote
2. Mark it
</t>
  </si>
  <si>
    <t>Your next task will to be a chatgpt test on all the topics using the list of topics here. This will be the task for the lesson after next lesson: https://sevenoaksschool.fireflycloud.net/resource.aspx?id=1354099</t>
  </si>
  <si>
    <t xml:space="preserve">  English Language</t>
  </si>
  <si>
    <r>
      <rPr>
        <b/>
        <sz val="11"/>
        <color rgb="FF000000"/>
        <rFont val="Calibri"/>
        <scheme val="minor"/>
      </rPr>
      <t>Between A Rock &amp; Hard Place</t>
    </r>
    <r>
      <rPr>
        <sz val="11"/>
        <color rgb="FF000000"/>
        <rFont val="Calibri"/>
        <scheme val="minor"/>
      </rPr>
      <t xml:space="preserve"> Annotation and practise questions</t>
    </r>
  </si>
  <si>
    <t>1. Do a couple of questions for each anthology
2. Do a past language paper on firefly. Go to the english page then go to paper 1 overviews</t>
  </si>
  <si>
    <r>
      <rPr>
        <b/>
        <sz val="11"/>
        <color theme="1"/>
        <rFont val="Calibri"/>
        <family val="2"/>
        <scheme val="minor"/>
      </rPr>
      <t xml:space="preserve">Explorers, or boys messing about: </t>
    </r>
    <r>
      <rPr>
        <sz val="11"/>
        <color theme="1"/>
        <rFont val="Calibri"/>
        <family val="2"/>
        <scheme val="minor"/>
      </rPr>
      <t xml:space="preserve"> annotation and practise questions</t>
    </r>
  </si>
  <si>
    <t xml:space="preserve">Next task:
Do january 2022 paper on firefly:
</t>
  </si>
  <si>
    <r>
      <rPr>
        <b/>
        <sz val="11"/>
        <color theme="1"/>
        <rFont val="Calibri"/>
        <family val="2"/>
        <scheme val="minor"/>
      </rPr>
      <t>Bhutan: Beyond the sky &amp; earth</t>
    </r>
    <r>
      <rPr>
        <sz val="11"/>
        <color theme="1"/>
        <rFont val="Calibri"/>
        <family val="2"/>
        <scheme val="minor"/>
      </rPr>
      <t xml:space="preserve"> Annotation and practise questions</t>
    </r>
  </si>
  <si>
    <t>Man this was not easy. Try use chatgpt to show you how to answer these questions and then try to actually get better answers. Complete 1 question from each section then move onto a new topic. Man this ain't easy.</t>
  </si>
  <si>
    <r>
      <rPr>
        <b/>
        <sz val="11"/>
        <color theme="1"/>
        <rFont val="Calibri"/>
        <family val="2"/>
        <scheme val="minor"/>
      </rPr>
      <t>The Danger of a single story</t>
    </r>
    <r>
      <rPr>
        <sz val="11"/>
        <color theme="1"/>
        <rFont val="Calibri"/>
        <family val="2"/>
        <scheme val="minor"/>
      </rPr>
      <t xml:space="preserve"> annotation and practise questions</t>
    </r>
  </si>
  <si>
    <r>
      <rPr>
        <b/>
        <sz val="11"/>
        <color theme="1"/>
        <rFont val="Calibri"/>
        <family val="2"/>
        <scheme val="minor"/>
      </rPr>
      <t>Young and dyslexic? You've got it going on</t>
    </r>
    <r>
      <rPr>
        <sz val="11"/>
        <color theme="1"/>
        <rFont val="Calibri"/>
        <family val="2"/>
        <scheme val="minor"/>
      </rPr>
      <t xml:space="preserve"> annotation and practise questions</t>
    </r>
  </si>
  <si>
    <t>Transactional Writing Practise: Leaflet text</t>
  </si>
  <si>
    <t>Transactional Writing Practise: Magazine article</t>
  </si>
  <si>
    <t>Transactional Writing Practise: Guide</t>
  </si>
  <si>
    <t>Transactional Writing Practise: Letter</t>
  </si>
  <si>
    <t xml:space="preserve">  English Literature</t>
  </si>
  <si>
    <t>Quotations and meaning for VFAB Characters - Eddie, Alfieri, Catherine, Rodolfo</t>
  </si>
  <si>
    <t>VFAB - Themes:  
1. Different views of loyalty and honour
2. Different views of justice
3. Transition and change</t>
  </si>
  <si>
    <t>finish the 2 quotations for transition and change 
then start doing quotations for the characters</t>
  </si>
  <si>
    <t>Practise planning and writing essays for VFAB</t>
  </si>
  <si>
    <t>Quotations and meaning for Romeo &amp; Juliet characters - Eddie, Alfieri, Catherine, Rodolfo</t>
  </si>
  <si>
    <t>Romeo and Juliet: Revise themes:
 ❤️ Love and romance
👑 Power and control
🕊️ Hope and forgiveness</t>
  </si>
  <si>
    <t>Practise planning and writing essays for R&amp;J</t>
  </si>
  <si>
    <t xml:space="preserve">  Geography</t>
  </si>
  <si>
    <t>Hazards</t>
  </si>
  <si>
    <t>1. Complete the third revision sheet on the geography oaks page
2. Do two 8 markers on this topic.
3. little chatgpt quiz on primary and secondary hazards/impacts if time (optional)</t>
  </si>
  <si>
    <t>Economic Activity &amp; energy</t>
  </si>
  <si>
    <t>Coasts</t>
  </si>
  <si>
    <t>Coastal Fieldwork</t>
  </si>
  <si>
    <t>Urban Environments</t>
  </si>
  <si>
    <t xml:space="preserve">This section is done. Next time you revise practise 8 markers and also do flashcards if possible. </t>
  </si>
  <si>
    <t xml:space="preserve">  History</t>
  </si>
  <si>
    <t>America 1918 - 1941</t>
  </si>
  <si>
    <t xml:space="preserve">read up on the whole of Section 3 and 4. Just spend the whole session catching up on that its very likely you won't do any questions on it
</t>
  </si>
  <si>
    <t>US Civil Rights</t>
  </si>
  <si>
    <t>History of Medicine</t>
  </si>
  <si>
    <t xml:space="preserve">  Spanish</t>
  </si>
  <si>
    <t>Do reading papers</t>
  </si>
  <si>
    <t xml:space="preserve">Next session do this:
1. finish reading paper while writing words we don't know in the quizlet
2. at the end if time do the quizlet
</t>
  </si>
  <si>
    <t>After you finish that reading paper we are gonna do a writing paper and practise that.</t>
  </si>
  <si>
    <t>Do writing papers</t>
  </si>
  <si>
    <t>Do listening papers</t>
  </si>
  <si>
    <t>practise for oral</t>
  </si>
  <si>
    <t xml:space="preserve">  Computer Science</t>
  </si>
  <si>
    <t>1.1 - Systems Architecture</t>
  </si>
  <si>
    <t>1.2 - Memory and storage</t>
  </si>
  <si>
    <t xml:space="preserve">1.3 - Computer networks, connections and protocols </t>
  </si>
  <si>
    <t>1.4 - Network security</t>
  </si>
  <si>
    <t>1.5 - Systems software</t>
  </si>
  <si>
    <t>1.6 - Ethical, legal, cultural and environmental impacts of digital technology</t>
  </si>
  <si>
    <t>Okay so this topic isn't perfect so we're gonna have to come back to it in some time.</t>
  </si>
  <si>
    <t>2.1 - Algorithms</t>
  </si>
  <si>
    <t>1. finish learning merge sort
2. remind your self of the file handling stuff
3. do some questions from a pmt algorithms paper
4. do some questions from a pmt programming fundamentals paper
5. highlight any gaps in knowledge</t>
  </si>
  <si>
    <t>2.2 - Programming fundamentals</t>
  </si>
  <si>
    <t>⚙  Settings</t>
  </si>
  <si>
    <t>Review intervals — how many days until a topic comes back</t>
  </si>
  <si>
    <t>Interval (days)</t>
  </si>
  <si>
    <t>Not Assessed</t>
  </si>
  <si>
    <t>—</t>
  </si>
  <si>
    <t>Edit the interval numbers in column C to change how often topics come back.</t>
  </si>
  <si>
    <t>% Complete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</si>
</sst>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3" x14ac:knownFonts="1">
    <font>
      <sz val="11"/>
      <color theme="1"/>
      <name val="Calibri"/>
      <family val="2"/>
      <scheme val="minor"/>
    </font>
    <font>
      <b/>
      <sz val="22"/>
      <color rgb="FF1F3864"/>
      <name val="Calibri"/>
    </font>
    <font>
      <b/>
      <sz val="14"/>
      <color rgb="FF1F3864"/>
      <name val="Calibri"/>
    </font>
    <font>
      <b/>
      <sz val="12"/>
      <color rgb="FFFFFFFF"/>
      <name val="Calibri"/>
    </font>
    <font>
      <b/>
      <sz val="11"/>
      <name val="Calibri"/>
    </font>
    <font>
      <i/>
      <sz val="10"/>
      <color rgb="FF555555"/>
      <name val="Calibri"/>
    </font>
    <font>
      <b/>
      <sz val="18"/>
      <color rgb="FFFFFFFF"/>
      <name val="Calibri"/>
    </font>
    <font>
      <b/>
      <sz val="22"/>
      <color rgb="FFFFFFFF"/>
      <name val="Calibri"/>
    </font>
    <font>
      <b/>
      <sz val="11"/>
      <color rgb="FF333333"/>
      <name val="Calibri"/>
    </font>
    <font>
      <b/>
      <sz val="20"/>
      <color rgb="FF1F3864"/>
      <name val="Calibri"/>
    </font>
    <font>
      <sz val="11"/>
      <name val="Segoe UI"/>
      <family val="2"/>
    </font>
    <font>
      <b/>
      <sz val="18"/>
      <color rgb="FFFFFFFF"/>
      <name val="Calibri"/>
      <family val="2"/>
    </font>
    <font>
      <b/>
      <sz val="11"/>
      <color theme="1"/>
      <name val="Calibri"/>
      <family val="2"/>
      <scheme val="minor"/>
    </font>
    <font>
      <sz val="11"/>
      <color rgb="FF000000"/>
      <name val="Calibri"/>
      <family val="2"/>
      <scheme val="minor"/>
    </font>
    <font>
      <b/>
      <sz val="11"/>
      <color rgb="FF000000"/>
      <name val="Calibri"/>
      <family val="2"/>
      <scheme val="minor"/>
    </font>
    <font>
      <u/>
      <sz val="11"/>
      <color theme="10"/>
      <name val="Calibri"/>
      <family val="2"/>
      <scheme val="minor"/>
    </font>
    <font>
      <b/>
      <sz val="11"/>
      <color rgb="FF3B3B3B"/>
      <name val="Calibri"/>
      <family val="2"/>
      <scheme val="minor"/>
    </font>
    <font>
      <sz val="11"/>
      <color theme="0"/>
      <name val="Calibri"/>
      <family val="2"/>
      <scheme val="minor"/>
    </font>
    <font>
      <b/>
      <sz val="12"/>
      <color rgb="FF000000"/>
      <name val="Calibri"/>
      <family val="2"/>
    </font>
    <font>
      <b/>
      <sz val="12"/>
      <color rgb="FF000000"/>
      <name val="Calibri"/>
      <family val="2"/>
      <scheme val="minor"/>
    </font>
    <font>
      <i/>
      <sz val="10"/>
      <color rgb="FFDC3232"/>
      <name val="Calibri"/>
      <family val="2"/>
      <scheme val="minor"/>
    </font>
    <font>
      <i/>
      <sz val="10"/>
      <color rgb="FFDC3232"/>
      <name val="Calibri"/>
      <scheme val="minor"/>
    </font>
    <font>
      <b/>
      <sz val="11"/>
      <color rgb="FF000000"/>
      <name val="Calibri"/>
      <scheme val="minor"/>
    </font>
    <font>
      <sz val="11"/>
      <color rgb="FF000000"/>
      <name val="Calibri"/>
      <scheme val="minor"/>
    </font>
    <font>
      <b/>
      <sz val="11"/>
      <color rgb="FFFFFFFF"/>
      <name val="Calibri"/>
      <family val="2"/>
      <scheme val="minor"/>
    </font>
    <font>
      <b/>
      <sz val="14"/>
      <color rgb="FF1F4E78"/>
      <name val="Calibri"/>
      <family val="2"/>
      <scheme val="minor"/>
    </font>
    <font>
      <sz val="11"/>
      <color theme="1"/>
      <name val="Segoe UI"/>
      <family val="2"/>
    </font>
    <font>
      <b/>
      <sz val="11"/>
      <color theme="1"/>
      <name val="Segoe UI"/>
      <family val="2"/>
    </font>
    <font>
      <b/>
      <sz val="16"/>
      <color rgb="FF1F4E78"/>
      <name val="Calibri"/>
      <family val="2"/>
      <scheme val="minor"/>
    </font>
    <font>
      <sz val="11"/>
      <color rgb="FFFFFFFF"/>
      <name val="Calibri"/>
      <family val="2"/>
      <scheme val="minor"/>
    </font>
    <font>
      <sz val="1"/>
      <color rgb="FFFFFFFF"/>
      <name val="Calibri"/>
      <family val="2"/>
      <scheme val="minor"/>
    </font>
    <font>
      <b/>
      <sz val="12"/>
      <color rgb="FF000000"/>
      <name val="Segoe UI"/>
      <family val="2"/>
    </font>
    <font>
      <sz val="11"/>
      <color rgb="FF3B3B3B"/>
      <name val="Segoe UI"/>
      <family val="2"/>
    </font>
  </fonts>
  <fills count="16">
    <fill>
      <patternFill patternType="none"/>
    </fill>
    <fill>
      <patternFill patternType="gray125"/>
    </fill>
    <fill>
      <patternFill patternType="solid">
        <fgColor rgb="FF1F3864"/>
      </patternFill>
    </fill>
    <fill>
      <patternFill patternType="solid">
        <fgColor rgb="FFF8B6B6"/>
      </patternFill>
    </fill>
    <fill>
      <patternFill patternType="solid">
        <fgColor rgb="FFFFE699"/>
      </patternFill>
    </fill>
    <fill>
      <patternFill patternType="solid">
        <fgColor rgb="FFC6EFCE"/>
      </patternFill>
    </fill>
    <fill>
      <patternFill patternType="solid">
        <fgColor rgb="FFE7E6E6"/>
      </patternFill>
    </fill>
    <fill>
      <patternFill patternType="solid">
        <fgColor rgb="FF2E75B6"/>
      </patternFill>
    </fill>
    <fill>
      <patternFill patternType="solid">
        <fgColor rgb="FFF2F6FB"/>
      </patternFill>
    </fill>
    <fill>
      <patternFill patternType="solid">
        <fgColor rgb="FFCFE2F3"/>
      </patternFill>
    </fill>
    <fill>
      <patternFill patternType="solid">
        <fgColor rgb="FFF9F9F9"/>
        <bgColor indexed="64"/>
      </patternFill>
    </fill>
    <fill>
      <patternFill patternType="solid">
        <fgColor rgb="FFFFFFFF"/>
        <bgColor indexed="64"/>
      </patternFill>
    </fill>
    <fill>
      <patternFill patternType="solid">
        <fgColor theme="8"/>
      </patternFill>
    </fill>
    <fill>
      <patternFill patternType="solid">
        <fgColor rgb="FFCFE2F3"/>
        <bgColor indexed="64"/>
      </patternFill>
    </fill>
    <fill>
      <patternFill patternType="solid">
        <fgColor rgb="FF1F4E78"/>
        <bgColor indexed="64"/>
      </patternFill>
    </fill>
    <fill>
      <patternFill patternType="solid">
        <fgColor rgb="FFF0F8FF"/>
        <bgColor indexed="64"/>
      </patternFill>
    </fill>
  </fills>
  <borders count="13">
    <border>
      <left/>
      <right/>
      <top/>
      <bottom/>
      <diagonal/>
    </border>
    <border>
      <left style="thin">
        <color rgb="FFBFD4EA"/>
      </left>
      <right style="thin">
        <color rgb="FFBFD4EA"/>
      </right>
      <top style="thin">
        <color rgb="FFBFD4EA"/>
      </top>
      <bottom style="medium">
        <color rgb="FF1F3864"/>
      </bottom>
      <diagonal/>
    </border>
    <border>
      <left/>
      <right style="thin">
        <color rgb="FFBFD4EA"/>
      </right>
      <top style="thin">
        <color rgb="FFBFD4EA"/>
      </top>
      <bottom style="medium">
        <color rgb="FF1F3864"/>
      </bottom>
      <diagonal/>
    </border>
    <border>
      <left style="thin">
        <color rgb="FFBFD4EA"/>
      </left>
      <right style="thin">
        <color rgb="FFBFD4EA"/>
      </right>
      <top style="thin">
        <color rgb="FFBFD4EA"/>
      </top>
      <bottom style="thin">
        <color rgb="FFBFD4EA"/>
      </bottom>
      <diagonal/>
    </border>
    <border>
      <left style="thin">
        <color rgb="FFDCDCDC"/>
      </left>
      <right style="thin">
        <color rgb="FFDCDCDC"/>
      </right>
      <top style="thin">
        <color rgb="FFDCDCDC"/>
      </top>
      <bottom style="thin">
        <color rgb="FFDCDCDC"/>
      </bottom>
      <diagonal/>
    </border>
    <border>
      <left style="thin">
        <color rgb="FFBFD4EA"/>
      </left>
      <right/>
      <top style="thin">
        <color rgb="FFBFD4EA"/>
      </top>
      <bottom style="thin">
        <color rgb="FFBFD4EA"/>
      </bottom>
      <diagonal/>
    </border>
    <border>
      <left style="thin">
        <color rgb="FFBDD7EE"/>
      </left>
      <right style="thin">
        <color rgb="FFBDD7EE"/>
      </right>
      <top style="thin">
        <color rgb="FFBDD7EE"/>
      </top>
      <bottom style="thin">
        <color rgb="FFBDD7EE"/>
      </bottom>
      <diagonal/>
    </border>
    <border>
      <left style="thin">
        <color rgb="FFBDD7EE"/>
      </left>
      <right style="thin">
        <color rgb="FFBDD7EE"/>
      </right>
      <top style="thin">
        <color rgb="FFBDD7EE"/>
      </top>
      <bottom/>
      <diagonal/>
    </border>
    <border>
      <left style="thin">
        <color rgb="FFDCDCDC"/>
      </left>
      <right/>
      <top/>
      <bottom/>
      <diagonal/>
    </border>
    <border>
      <left/>
      <right style="thin">
        <color rgb="FFDCDCDC"/>
      </right>
      <top/>
      <bottom/>
      <diagonal/>
    </border>
    <border>
      <left style="thin">
        <color rgb="FFDCDCDC"/>
      </left>
      <right/>
      <top style="thin">
        <color rgb="FFDCDCDC"/>
      </top>
      <bottom style="thin">
        <color rgb="FFDCDCDC"/>
      </bottom>
      <diagonal/>
    </border>
    <border>
      <left/>
      <right style="thin">
        <color rgb="FFDCDCDC"/>
      </right>
      <top style="thin">
        <color rgb="FFDCDCDC"/>
      </top>
      <bottom style="thin">
        <color rgb="FFDCDCDC"/>
      </bottom>
      <diagonal/>
    </border>
    <border>
      <left style="thin">
        <color rgb="FFDCDCDC"/>
      </left>
      <right style="thin">
        <color rgb="FFDCDCDC"/>
      </right>
      <top style="thin">
        <color rgb="FFDCDCDC"/>
      </top>
      <bottom/>
      <diagonal/>
    </border>
  </borders>
  <cellStyleXfs count="3">
    <xf numFmtId="0" fontId="0" fillId="0" borderId="0"/>
    <xf numFmtId="0" fontId="15" fillId="0" borderId="0" applyNumberFormat="0" applyFill="0" applyBorder="0" applyAlignment="0" applyProtection="0"/>
    <xf numFmtId="0" fontId="17" fillId="12" borderId="0" applyNumberFormat="0" applyBorder="0" applyAlignment="0" applyProtection="0"/>
  </cellStyleXfs>
  <cellXfs count="76">
    <xf numFmtId="0" fontId="0" fillId="0" borderId="0" xfId="0"/>
    <xf numFmtId="0" fontId="0" fillId="0" borderId="0" xfId="0" applyAlignment="1">
      <alignment wrapText="1"/>
    </xf>
    <xf numFmtId="0" fontId="0" fillId="0" borderId="3" xfId="0" applyBorder="1" applyAlignment="1">
      <alignment horizontal="left" vertical="center"/>
    </xf>
    <xf numFmtId="0" fontId="0" fillId="0" borderId="3" xfId="0" applyBorder="1" applyAlignment="1">
      <alignment horizontal="center" vertical="center"/>
    </xf>
    <xf numFmtId="14" fontId="0" fillId="0" borderId="3" xfId="0" applyNumberFormat="1" applyBorder="1" applyAlignment="1">
      <alignment horizontal="center" vertical="center"/>
    </xf>
    <xf numFmtId="0" fontId="10" fillId="0" borderId="0" xfId="0" applyFont="1" applyAlignment="1">
      <alignment wrapText="1"/>
    </xf>
    <xf numFmtId="0" fontId="8" fillId="8" borderId="3" xfId="0" applyFont="1" applyFill="1" applyBorder="1" applyAlignment="1">
      <alignment horizontal="center" vertical="center"/>
    </xf>
    <xf numFmtId="0" fontId="3" fillId="7" borderId="3" xfId="0" applyFont="1" applyFill="1" applyBorder="1" applyAlignment="1">
      <alignment horizontal="center" vertical="center"/>
    </xf>
    <xf numFmtId="0" fontId="3" fillId="7" borderId="3" xfId="0" applyFont="1" applyFill="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wrapText="1"/>
    </xf>
    <xf numFmtId="0" fontId="3" fillId="2" borderId="3" xfId="0" applyFont="1" applyFill="1" applyBorder="1" applyAlignment="1">
      <alignment horizontal="center" vertical="center"/>
    </xf>
    <xf numFmtId="0" fontId="4" fillId="3" borderId="3" xfId="0" applyFont="1" applyFill="1" applyBorder="1" applyAlignment="1">
      <alignment horizontal="center" vertical="center"/>
    </xf>
    <xf numFmtId="0" fontId="4"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6" borderId="3" xfId="0" applyFont="1" applyFill="1" applyBorder="1" applyAlignment="1">
      <alignment horizontal="center" vertical="center"/>
    </xf>
    <xf numFmtId="14" fontId="0" fillId="0" borderId="0" xfId="0" applyNumberFormat="1" applyAlignment="1">
      <alignment wrapText="1"/>
    </xf>
    <xf numFmtId="14" fontId="3" fillId="7" borderId="3" xfId="0" applyNumberFormat="1" applyFont="1" applyFill="1" applyBorder="1" applyAlignment="1">
      <alignment horizontal="center" vertical="center" wrapText="1"/>
    </xf>
    <xf numFmtId="14" fontId="0" fillId="0" borderId="0" xfId="0" applyNumberFormat="1"/>
    <xf numFmtId="14" fontId="3" fillId="7" borderId="3" xfId="0" applyNumberFormat="1" applyFont="1" applyFill="1" applyBorder="1" applyAlignment="1">
      <alignment horizontal="center" vertical="center"/>
    </xf>
    <xf numFmtId="0" fontId="13" fillId="0" borderId="3" xfId="0" applyFont="1" applyBorder="1" applyAlignment="1">
      <alignment horizontal="left" vertical="center" wrapText="1"/>
    </xf>
    <xf numFmtId="164" fontId="0" fillId="0" borderId="3" xfId="0" applyNumberFormat="1" applyBorder="1" applyAlignment="1">
      <alignment horizontal="center" vertical="center" wrapText="1"/>
    </xf>
    <xf numFmtId="0" fontId="16" fillId="10" borderId="4" xfId="1" applyFont="1" applyFill="1" applyBorder="1" applyAlignment="1">
      <alignment horizontal="center" vertical="center"/>
    </xf>
    <xf numFmtId="0" fontId="0" fillId="10" borderId="4" xfId="0" applyFill="1" applyBorder="1" applyAlignment="1">
      <alignment horizontal="center" vertical="center"/>
    </xf>
    <xf numFmtId="0" fontId="16" fillId="11" borderId="4" xfId="1" applyFont="1" applyFill="1" applyBorder="1" applyAlignment="1">
      <alignment horizontal="center" vertical="center"/>
    </xf>
    <xf numFmtId="0" fontId="0" fillId="11" borderId="4" xfId="0" applyFill="1" applyBorder="1" applyAlignment="1">
      <alignment horizontal="center" vertical="center"/>
    </xf>
    <xf numFmtId="0" fontId="14" fillId="13" borderId="4" xfId="2" applyFont="1" applyFill="1" applyBorder="1" applyAlignment="1">
      <alignment horizontal="center" vertical="center"/>
    </xf>
    <xf numFmtId="0" fontId="18" fillId="13" borderId="4" xfId="0" applyFont="1" applyFill="1" applyBorder="1" applyAlignment="1">
      <alignment horizontal="center" vertical="center"/>
    </xf>
    <xf numFmtId="0" fontId="20" fillId="0" borderId="0" xfId="1" applyFont="1" applyAlignment="1">
      <alignment horizontal="left" wrapText="1" indent="1"/>
    </xf>
    <xf numFmtId="0" fontId="21" fillId="0" borderId="0" xfId="1" applyFont="1" applyAlignment="1">
      <alignment horizontal="left" indent="1"/>
    </xf>
    <xf numFmtId="0" fontId="20" fillId="0" borderId="0" xfId="1" applyFont="1" applyAlignment="1">
      <alignment horizontal="left" indent="1"/>
    </xf>
    <xf numFmtId="0" fontId="23" fillId="0" borderId="3" xfId="0" applyFont="1" applyBorder="1" applyAlignment="1">
      <alignment horizontal="left" vertical="center" wrapText="1"/>
    </xf>
    <xf numFmtId="0" fontId="24" fillId="14" borderId="0" xfId="0" applyFont="1" applyFill="1" applyAlignment="1">
      <alignment horizontal="center" vertical="center" wrapText="1"/>
    </xf>
    <xf numFmtId="0" fontId="0" fillId="0" borderId="5" xfId="0" applyBorder="1" applyAlignment="1">
      <alignment horizontal="left" vertical="center" wrapText="1"/>
    </xf>
    <xf numFmtId="0" fontId="13" fillId="11" borderId="6" xfId="0" applyFont="1" applyFill="1" applyBorder="1" applyAlignment="1">
      <alignment vertical="top" wrapText="1"/>
    </xf>
    <xf numFmtId="0" fontId="13" fillId="11" borderId="7" xfId="0" applyFont="1" applyFill="1" applyBorder="1" applyAlignment="1">
      <alignment vertical="top" wrapText="1"/>
    </xf>
    <xf numFmtId="0" fontId="24" fillId="14" borderId="0" xfId="0" applyFont="1" applyFill="1" applyAlignment="1">
      <alignment horizontal="center" vertical="center"/>
    </xf>
    <xf numFmtId="0" fontId="0" fillId="0" borderId="5" xfId="0" applyBorder="1" applyAlignment="1">
      <alignment horizontal="left" vertical="center"/>
    </xf>
    <xf numFmtId="0" fontId="25" fillId="0" borderId="0" xfId="0" applyFont="1"/>
    <xf numFmtId="0" fontId="27" fillId="13" borderId="4" xfId="0" applyFont="1" applyFill="1" applyBorder="1" applyAlignment="1">
      <alignment horizontal="center"/>
    </xf>
    <xf numFmtId="0" fontId="26" fillId="11" borderId="4" xfId="0" applyFont="1" applyFill="1" applyBorder="1" applyAlignment="1">
      <alignment horizontal="left"/>
    </xf>
    <xf numFmtId="0" fontId="26" fillId="10" borderId="4" xfId="0" applyFont="1" applyFill="1" applyBorder="1" applyAlignment="1">
      <alignment horizontal="left"/>
    </xf>
    <xf numFmtId="0" fontId="29" fillId="0" borderId="0" xfId="0" applyFont="1"/>
    <xf numFmtId="0" fontId="30" fillId="0" borderId="0" xfId="0" applyFont="1"/>
    <xf numFmtId="0" fontId="12" fillId="0" borderId="0" xfId="0" applyFont="1" applyAlignment="1">
      <alignment horizontal="center"/>
    </xf>
    <xf numFmtId="0" fontId="28" fillId="15" borderId="0" xfId="0" applyFont="1" applyFill="1" applyAlignment="1">
      <alignment horizontal="center" vertical="center"/>
    </xf>
    <xf numFmtId="0" fontId="18" fillId="13" borderId="10" xfId="0" applyFont="1" applyFill="1" applyBorder="1" applyAlignment="1">
      <alignment horizontal="center" vertical="center"/>
    </xf>
    <xf numFmtId="0" fontId="19" fillId="13" borderId="11" xfId="0" applyFont="1" applyFill="1" applyBorder="1" applyAlignment="1">
      <alignment horizontal="center" vertical="center"/>
    </xf>
    <xf numFmtId="0" fontId="0" fillId="10" borderId="10" xfId="0" applyFill="1" applyBorder="1" applyAlignment="1">
      <alignment horizontal="center" vertical="center"/>
    </xf>
    <xf numFmtId="0" fontId="16" fillId="10" borderId="11" xfId="0" applyFont="1" applyFill="1" applyBorder="1" applyAlignment="1">
      <alignment horizontal="center" vertical="center"/>
    </xf>
    <xf numFmtId="0" fontId="31" fillId="13" borderId="12" xfId="0" applyFont="1" applyFill="1" applyBorder="1" applyAlignment="1">
      <alignment horizontal="center" vertical="center"/>
    </xf>
    <xf numFmtId="9" fontId="32" fillId="11" borderId="4" xfId="0" applyNumberFormat="1" applyFont="1" applyFill="1" applyBorder="1" applyAlignment="1">
      <alignment horizontal="center" vertical="center"/>
    </xf>
    <xf numFmtId="0" fontId="0" fillId="11" borderId="10" xfId="0" applyFill="1" applyBorder="1" applyAlignment="1">
      <alignment horizontal="center" vertical="center"/>
    </xf>
    <xf numFmtId="0" fontId="16" fillId="11" borderId="11" xfId="0" applyFont="1" applyFill="1" applyBorder="1" applyAlignment="1">
      <alignment horizontal="center" vertical="center"/>
    </xf>
    <xf numFmtId="9" fontId="32" fillId="10" borderId="12" xfId="0" applyNumberFormat="1" applyFont="1" applyFill="1" applyBorder="1" applyAlignment="1">
      <alignment horizontal="center" vertical="center"/>
    </xf>
    <xf numFmtId="9" fontId="32" fillId="11" borderId="12" xfId="0" applyNumberFormat="1" applyFont="1" applyFill="1" applyBorder="1" applyAlignment="1">
      <alignment horizontal="center" vertical="center"/>
    </xf>
    <xf numFmtId="0" fontId="2" fillId="0" borderId="0" xfId="0" applyFont="1"/>
    <xf numFmtId="0" fontId="0" fillId="0" borderId="0" xfId="0"/>
    <xf numFmtId="0" fontId="7" fillId="2" borderId="0" xfId="0" applyFont="1" applyFill="1" applyAlignment="1">
      <alignment horizontal="left" vertical="center"/>
    </xf>
    <xf numFmtId="0" fontId="9" fillId="5" borderId="1" xfId="0" applyFont="1" applyFill="1" applyBorder="1" applyAlignment="1">
      <alignment horizontal="center" vertical="center"/>
    </xf>
    <xf numFmtId="0" fontId="0" fillId="0" borderId="2" xfId="0" applyBorder="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8"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12" fillId="0" borderId="0" xfId="0" applyFont="1" applyAlignment="1">
      <alignment horizontal="center"/>
    </xf>
    <xf numFmtId="0" fontId="28" fillId="15" borderId="8" xfId="0" applyFont="1" applyFill="1" applyBorder="1" applyAlignment="1">
      <alignment horizontal="center" vertical="center"/>
    </xf>
    <xf numFmtId="0" fontId="28" fillId="15" borderId="0" xfId="0" applyFont="1" applyFill="1" applyAlignment="1">
      <alignment horizontal="center" vertical="center"/>
    </xf>
    <xf numFmtId="0" fontId="28" fillId="15" borderId="9" xfId="0" applyFont="1" applyFill="1" applyBorder="1" applyAlignment="1">
      <alignment horizontal="center" vertical="center"/>
    </xf>
    <xf numFmtId="0" fontId="6" fillId="2" borderId="0" xfId="0" applyFont="1" applyFill="1" applyAlignment="1">
      <alignment horizontal="left" vertical="center" wrapText="1"/>
    </xf>
    <xf numFmtId="0" fontId="6" fillId="2" borderId="0" xfId="0" applyFont="1" applyFill="1" applyAlignment="1">
      <alignment horizontal="left" vertical="center"/>
    </xf>
    <xf numFmtId="0" fontId="11" fillId="2" borderId="0" xfId="0" applyFont="1" applyFill="1" applyAlignment="1">
      <alignment horizontal="left" vertical="center"/>
    </xf>
    <xf numFmtId="0" fontId="5" fillId="0" borderId="0" xfId="0" applyFont="1"/>
    <xf numFmtId="0" fontId="1" fillId="0" borderId="0" xfId="0" applyFont="1"/>
  </cellXfs>
  <cellStyles count="3">
    <cellStyle name="Accent5" xfId="2" builtinId="45"/>
    <cellStyle name="Hyperlink" xfId="1" builtinId="8"/>
    <cellStyle name="Normal" xfId="0" builtinId="0"/>
  </cellStyles>
  <dxfs count="190">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ill>
        <patternFill>
          <bgColor rgb="FFF4CCCC"/>
        </patternFill>
      </fill>
    </dxf>
    <dxf>
      <fill>
        <patternFill>
          <bgColor rgb="FFD9EAD3"/>
        </patternFill>
      </fill>
    </dxf>
    <dxf>
      <fill>
        <patternFill>
          <bgColor rgb="FFFFF2CC"/>
        </patternFill>
      </fill>
    </dxf>
    <dxf>
      <fill>
        <patternFill>
          <bgColor rgb="FFFFF2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patternType="solid">
          <bgColor rgb="FF00B050"/>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EBEBEB"/>
        </patternFill>
      </fill>
    </dxf>
    <dxf>
      <fill>
        <patternFill patternType="solid">
          <fgColor rgb="FFF8B6B6"/>
        </patternFill>
      </fill>
    </dxf>
    <dxf>
      <fill>
        <patternFill patternType="solid">
          <fgColor rgb="FFFFE699"/>
        </patternFill>
      </fill>
    </dxf>
    <dxf>
      <fill>
        <patternFill patternType="solid">
          <fgColor rgb="FFC6EFCE"/>
        </patternFill>
      </fill>
    </dxf>
    <dxf>
      <font>
        <color rgb="FF960000"/>
      </font>
      <fill>
        <patternFill>
          <bgColor rgb="FFF4CCCC"/>
        </patternFill>
      </fill>
    </dxf>
    <dxf>
      <font>
        <b/>
        <i val="0"/>
        <color rgb="FFFFFFFF"/>
      </font>
      <fill>
        <patternFill>
          <bgColor rgb="FF86BC71"/>
        </patternFill>
      </fill>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dxf>
    <dxf>
      <numFmt numFmtId="19" formatCode="dd/mm/yyyy"/>
    </dxf>
    <dxf>
      <alignment wrapText="1"/>
    </dxf>
    <dxf>
      <alignment wrapText="1"/>
    </dxf>
    <dxf>
      <numFmt numFmtId="19" formatCode="dd/mm/yyyy"/>
      <alignment wrapText="1"/>
    </dxf>
    <dxf>
      <alignment wrapText="1"/>
    </dxf>
    <dxf>
      <alignment wrapText="1"/>
    </dxf>
    <dxf>
      <alignment wrapText="1"/>
    </dxf>
    <dxf>
      <alignment wrapText="1"/>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iologyTbl" displayName="BiologyTbl" ref="A3:F27" headerRowDxfId="189" dataDxfId="188" totalsRowDxfId="187">
  <autoFilter ref="A3:F27" xr:uid="{00000000-0009-0000-0100-000001000000}"/>
  <tableColumns count="6">
    <tableColumn id="1" xr3:uid="{00000000-0010-0000-0000-000001000000}" name="Topic" dataDxfId="186"/>
    <tableColumn id="2" xr3:uid="{00000000-0010-0000-0000-000002000000}" name="Status" dataDxfId="185"/>
    <tableColumn id="3" xr3:uid="{00000000-0010-0000-0000-000003000000}" name="Confidence" dataDxfId="184"/>
    <tableColumn id="4" xr3:uid="{00000000-0010-0000-0000-000004000000}" name="Last Revised" dataDxfId="183"/>
    <tableColumn id="6" xr3:uid="{00000000-0010-0000-0000-000006000000}" name="Next Action" dataDxfId="182"/>
    <tableColumn id="5" xr3:uid="{F0BDA802-DA31-4BA7-81BA-FDB612DC37E1}" name="General Notes" dataDxfId="181" totalsRowDxfId="180"/>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emistryTbl" displayName="ChemistryTbl" ref="A3:F18">
  <autoFilter ref="A3:F18" xr:uid="{00000000-0009-0000-0100-000002000000}"/>
  <tableColumns count="6">
    <tableColumn id="1" xr3:uid="{00000000-0010-0000-0100-000001000000}" name="Topic"/>
    <tableColumn id="2" xr3:uid="{00000000-0010-0000-0100-000002000000}" name="Status"/>
    <tableColumn id="3" xr3:uid="{00000000-0010-0000-0100-000003000000}" name="Confidence"/>
    <tableColumn id="4" xr3:uid="{00000000-0010-0000-0100-000004000000}" name="Last Revised" dataDxfId="179"/>
    <tableColumn id="6" xr3:uid="{00000000-0010-0000-0100-000006000000}" name="Next Action"/>
    <tableColumn id="5" xr3:uid="{DB8974C0-4423-4F62-8CA0-D4A3FA4693EA}" name="General Notes"/>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hysicsTbl" displayName="PhysicsTbl" ref="A3:F18" dataDxfId="178">
  <autoFilter ref="A3:F18" xr:uid="{00000000-0009-0000-0100-000003000000}"/>
  <tableColumns count="6">
    <tableColumn id="1" xr3:uid="{00000000-0010-0000-0200-000001000000}" name="Topic" dataDxfId="177"/>
    <tableColumn id="2" xr3:uid="{00000000-0010-0000-0200-000002000000}" name="Status" dataDxfId="176"/>
    <tableColumn id="3" xr3:uid="{00000000-0010-0000-0200-000003000000}" name="Confidence" dataDxfId="175"/>
    <tableColumn id="4" xr3:uid="{00000000-0010-0000-0200-000004000000}" name="Last Revised" dataDxfId="174"/>
    <tableColumn id="6" xr3:uid="{00000000-0010-0000-0200-000006000000}" name="Next Action" dataDxfId="173"/>
    <tableColumn id="5" xr3:uid="{2C5860E0-C42D-447A-99E8-019207F1E49B}" name="General Notes" dataDxfId="172"/>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athematicsTbl" displayName="MathematicsTbl" ref="A3:F18" headerRowDxfId="171" dataDxfId="170" totalsRowDxfId="169">
  <autoFilter ref="A3:F18" xr:uid="{00000000-0009-0000-0100-000004000000}"/>
  <tableColumns count="6">
    <tableColumn id="1" xr3:uid="{00000000-0010-0000-0300-000001000000}" name="Topic" dataDxfId="168"/>
    <tableColumn id="2" xr3:uid="{00000000-0010-0000-0300-000002000000}" name="Status" dataDxfId="167"/>
    <tableColumn id="3" xr3:uid="{00000000-0010-0000-0300-000003000000}" name="Confidence" dataDxfId="166"/>
    <tableColumn id="4" xr3:uid="{00000000-0010-0000-0300-000004000000}" name="Last Revised" dataDxfId="165"/>
    <tableColumn id="6" xr3:uid="{00000000-0010-0000-0300-000006000000}" name="Next Action" dataDxfId="164"/>
    <tableColumn id="5" xr3:uid="{902E25C2-558C-4568-81EE-02B6DDE3EEEE}" name="General Notes" dataDxfId="163" totalsRowDxfId="162"/>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glishLanguageTbl" displayName="EnglishLanguageTbl" ref="A3:F18" dataDxfId="161">
  <autoFilter ref="A3:F18" xr:uid="{00000000-0009-0000-0100-000005000000}"/>
  <tableColumns count="6">
    <tableColumn id="1" xr3:uid="{00000000-0010-0000-0400-000001000000}" name="Topic" dataDxfId="160"/>
    <tableColumn id="2" xr3:uid="{00000000-0010-0000-0400-000002000000}" name="Status" dataDxfId="159"/>
    <tableColumn id="3" xr3:uid="{00000000-0010-0000-0400-000003000000}" name="Confidence" dataDxfId="158"/>
    <tableColumn id="4" xr3:uid="{00000000-0010-0000-0400-000004000000}" name="Last Revised" dataDxfId="157"/>
    <tableColumn id="6" xr3:uid="{00000000-0010-0000-0400-000006000000}" name="Next Action" dataDxfId="156"/>
    <tableColumn id="5" xr3:uid="{75D1410F-47BB-4A48-905A-25CF74BDB786}" name="General Notes" dataDxfId="155"/>
  </tableColumns>
  <tableStyleInfo name="TableStyleLight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nglishLiteratureTbl" displayName="EnglishLiteratureTbl" ref="A3:F18" headerRowDxfId="154" dataDxfId="153" totalsRowDxfId="152">
  <autoFilter ref="A3:F18" xr:uid="{00000000-0009-0000-0100-000006000000}"/>
  <tableColumns count="6">
    <tableColumn id="1" xr3:uid="{00000000-0010-0000-0500-000001000000}" name="Topic" dataDxfId="151"/>
    <tableColumn id="2" xr3:uid="{00000000-0010-0000-0500-000002000000}" name="Status" dataDxfId="150"/>
    <tableColumn id="3" xr3:uid="{00000000-0010-0000-0500-000003000000}" name="Confidence" dataDxfId="149"/>
    <tableColumn id="4" xr3:uid="{00000000-0010-0000-0500-000004000000}" name="Last Revised" dataDxfId="148"/>
    <tableColumn id="6" xr3:uid="{00000000-0010-0000-0500-000006000000}" name="Next Action" dataDxfId="147"/>
    <tableColumn id="5" xr3:uid="{930CE764-AB02-4790-8724-F5622F11644B}" name="General Notes" dataDxfId="146" totalsRowDxfId="145"/>
  </tableColumns>
  <tableStyleInfo name="TableStyleLight1"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eographyTbl" displayName="GeographyTbl" ref="A3:F18" dataDxfId="144">
  <autoFilter ref="A3:F18" xr:uid="{00000000-0009-0000-0100-000007000000}"/>
  <tableColumns count="6">
    <tableColumn id="1" xr3:uid="{00000000-0010-0000-0600-000001000000}" name="Topic" dataDxfId="143"/>
    <tableColumn id="2" xr3:uid="{00000000-0010-0000-0600-000002000000}" name="Status" dataDxfId="142"/>
    <tableColumn id="3" xr3:uid="{00000000-0010-0000-0600-000003000000}" name="Confidence" dataDxfId="141"/>
    <tableColumn id="4" xr3:uid="{00000000-0010-0000-0600-000004000000}" name="Last Revised" dataDxfId="140"/>
    <tableColumn id="6" xr3:uid="{00000000-0010-0000-0600-000006000000}" name="Next Action" dataDxfId="139"/>
    <tableColumn id="5" xr3:uid="{27D2B179-C2A7-46A7-8BEB-752BF05A8E89}" name="General Notes" dataDxfId="138"/>
  </tableColumns>
  <tableStyleInfo name="TableStyleLight1"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HistoryTbl" displayName="HistoryTbl" ref="A3:F18">
  <autoFilter ref="A3:F18" xr:uid="{00000000-0009-0000-0100-000008000000}"/>
  <tableColumns count="6">
    <tableColumn id="1" xr3:uid="{00000000-0010-0000-0700-000001000000}" name="Topic"/>
    <tableColumn id="2" xr3:uid="{00000000-0010-0000-0700-000002000000}" name="Status"/>
    <tableColumn id="3" xr3:uid="{00000000-0010-0000-0700-000003000000}" name="Confidence"/>
    <tableColumn id="4" xr3:uid="{00000000-0010-0000-0700-000004000000}" name="Last Revised" dataDxfId="137"/>
    <tableColumn id="6" xr3:uid="{00000000-0010-0000-0700-000006000000}" name="Next Action"/>
    <tableColumn id="5" xr3:uid="{28A5B818-9271-4E86-B3A0-50B7055F910C}" name="General Notes"/>
  </tableColumns>
  <tableStyleInfo name="TableStyleLight1"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panishTbl" displayName="SpanishTbl" ref="A3:F18">
  <autoFilter ref="A3:F18" xr:uid="{00000000-0009-0000-0100-000009000000}"/>
  <tableColumns count="6">
    <tableColumn id="1" xr3:uid="{00000000-0010-0000-0800-000001000000}" name="Topic"/>
    <tableColumn id="2" xr3:uid="{00000000-0010-0000-0800-000002000000}" name="Status"/>
    <tableColumn id="3" xr3:uid="{00000000-0010-0000-0800-000003000000}" name="Confidence"/>
    <tableColumn id="4" xr3:uid="{00000000-0010-0000-0800-000004000000}" name="Last Revised" dataDxfId="136"/>
    <tableColumn id="6" xr3:uid="{00000000-0010-0000-0800-000006000000}" name="Next Action"/>
    <tableColumn id="5" xr3:uid="{7C8E7108-0749-49A2-855D-B734764E8E58}" name="General Notes"/>
  </tableColumns>
  <tableStyleInfo name="TableStyleLight1"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ComputerScienceTbl" displayName="ComputerScienceTbl" ref="A3:F18" headerRowDxfId="135" dataDxfId="134" totalsRowDxfId="133">
  <autoFilter ref="A3:F18" xr:uid="{00000000-0009-0000-0100-00000A000000}"/>
  <tableColumns count="6">
    <tableColumn id="1" xr3:uid="{00000000-0010-0000-0900-000001000000}" name="Topic" dataDxfId="132"/>
    <tableColumn id="2" xr3:uid="{00000000-0010-0000-0900-000002000000}" name="Status" dataDxfId="131"/>
    <tableColumn id="3" xr3:uid="{00000000-0010-0000-0900-000003000000}" name="Confidence" dataDxfId="130"/>
    <tableColumn id="4" xr3:uid="{00000000-0010-0000-0900-000004000000}" name="Last Revised" dataDxfId="129"/>
    <tableColumn id="6" xr3:uid="{00000000-0010-0000-0900-000006000000}" name="Next Action" dataDxfId="128"/>
    <tableColumn id="5" xr3:uid="{63D6C4F6-C7E6-4663-AE70-5CFDFF770C29}" name="General Notes" dataDxfId="127" totalsRowDxfId="12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FF182-A9DF-49CA-A197-60E29E93D9CE}">
  <dimension ref="A1:K9"/>
  <sheetViews>
    <sheetView zoomScale="85" zoomScaleNormal="85" zoomScaleSheetLayoutView="100" workbookViewId="0">
      <selection activeCell="E8" sqref="E8"/>
    </sheetView>
  </sheetViews>
  <sheetFormatPr defaultRowHeight="15" x14ac:dyDescent="0.25"/>
  <cols>
    <col min="1" max="5" width="18.7109375" customWidth="1"/>
    <col min="7" max="11" width="18.7109375" customWidth="1"/>
  </cols>
  <sheetData>
    <row r="1" spans="1:11" ht="18.75" x14ac:dyDescent="0.3">
      <c r="A1" s="39" t="s">
        <v>0</v>
      </c>
      <c r="G1" s="39" t="s">
        <v>1</v>
      </c>
    </row>
    <row r="2" spans="1:11" ht="24.95" customHeight="1" x14ac:dyDescent="0.3">
      <c r="A2" s="40" t="s">
        <v>2</v>
      </c>
      <c r="B2" s="40" t="s">
        <v>3</v>
      </c>
      <c r="C2" s="40" t="s">
        <v>4</v>
      </c>
      <c r="D2" s="40" t="s">
        <v>5</v>
      </c>
      <c r="E2" s="40" t="s">
        <v>6</v>
      </c>
      <c r="G2" s="40" t="s">
        <v>2</v>
      </c>
      <c r="H2" s="40" t="s">
        <v>3</v>
      </c>
      <c r="I2" s="40" t="s">
        <v>4</v>
      </c>
      <c r="J2" s="40" t="s">
        <v>5</v>
      </c>
      <c r="K2" s="40" t="s">
        <v>6</v>
      </c>
    </row>
    <row r="3" spans="1:11" ht="24.95" customHeight="1" x14ac:dyDescent="0.3">
      <c r="A3" s="41" t="s">
        <v>7</v>
      </c>
      <c r="B3" s="41" t="s">
        <v>8</v>
      </c>
      <c r="C3" s="41" t="s">
        <v>9</v>
      </c>
      <c r="D3" s="41" t="s">
        <v>10</v>
      </c>
      <c r="E3" s="41" t="s">
        <v>11</v>
      </c>
      <c r="G3" s="41" t="s">
        <v>7</v>
      </c>
      <c r="H3" s="41" t="s">
        <v>9</v>
      </c>
      <c r="I3" s="41" t="s">
        <v>8</v>
      </c>
      <c r="J3" s="41" t="s">
        <v>10</v>
      </c>
      <c r="K3" s="41" t="s">
        <v>12</v>
      </c>
    </row>
    <row r="4" spans="1:11" ht="24.95" customHeight="1" x14ac:dyDescent="0.3">
      <c r="A4" s="42" t="s">
        <v>13</v>
      </c>
      <c r="B4" s="42" t="s">
        <v>12</v>
      </c>
      <c r="C4" s="42" t="s">
        <v>14</v>
      </c>
      <c r="D4" s="42" t="s">
        <v>15</v>
      </c>
      <c r="E4" s="42" t="s">
        <v>16</v>
      </c>
      <c r="G4" s="42" t="s">
        <v>13</v>
      </c>
      <c r="H4" s="42" t="s">
        <v>17</v>
      </c>
      <c r="I4" s="42" t="s">
        <v>16</v>
      </c>
      <c r="J4" s="42" t="s">
        <v>14</v>
      </c>
      <c r="K4" s="42" t="s">
        <v>11</v>
      </c>
    </row>
    <row r="5" spans="1:11" ht="24.95" customHeight="1" x14ac:dyDescent="0.3">
      <c r="A5" s="41" t="s">
        <v>18</v>
      </c>
      <c r="B5" s="41" t="s">
        <v>17</v>
      </c>
      <c r="C5" s="41" t="s">
        <v>9</v>
      </c>
      <c r="D5" s="41" t="s">
        <v>19</v>
      </c>
      <c r="E5" s="41" t="s">
        <v>8</v>
      </c>
      <c r="G5" s="41" t="s">
        <v>18</v>
      </c>
      <c r="H5" s="41" t="s">
        <v>19</v>
      </c>
      <c r="I5" s="41" t="s">
        <v>8</v>
      </c>
      <c r="J5" s="41" t="s">
        <v>9</v>
      </c>
      <c r="K5" s="41" t="s">
        <v>15</v>
      </c>
    </row>
    <row r="6" spans="1:11" ht="24.95" customHeight="1" x14ac:dyDescent="0.3">
      <c r="A6" s="42" t="s">
        <v>20</v>
      </c>
      <c r="B6" s="42" t="s">
        <v>16</v>
      </c>
      <c r="C6" s="42" t="s">
        <v>10</v>
      </c>
      <c r="D6" s="42" t="s">
        <v>17</v>
      </c>
      <c r="E6" s="42" t="s">
        <v>11</v>
      </c>
      <c r="G6" s="42" t="s">
        <v>20</v>
      </c>
      <c r="H6" s="42" t="s">
        <v>16</v>
      </c>
      <c r="I6" s="42" t="s">
        <v>17</v>
      </c>
      <c r="J6" s="42" t="s">
        <v>11</v>
      </c>
      <c r="K6" s="42" t="s">
        <v>14</v>
      </c>
    </row>
    <row r="7" spans="1:11" ht="24.95" customHeight="1" x14ac:dyDescent="0.3">
      <c r="A7" s="41" t="s">
        <v>21</v>
      </c>
      <c r="B7" s="41" t="s">
        <v>14</v>
      </c>
      <c r="C7" s="41" t="s">
        <v>9</v>
      </c>
      <c r="D7" s="41" t="s">
        <v>15</v>
      </c>
      <c r="E7" s="41" t="s">
        <v>12</v>
      </c>
      <c r="G7" s="41" t="s">
        <v>21</v>
      </c>
      <c r="H7" s="41" t="s">
        <v>8</v>
      </c>
      <c r="I7" s="41" t="s">
        <v>10</v>
      </c>
      <c r="J7" s="41" t="s">
        <v>9</v>
      </c>
      <c r="K7" s="41" t="s">
        <v>16</v>
      </c>
    </row>
    <row r="8" spans="1:11" ht="24.95" customHeight="1" x14ac:dyDescent="0.3">
      <c r="A8" s="42" t="s">
        <v>22</v>
      </c>
      <c r="B8" s="42" t="s">
        <v>17</v>
      </c>
      <c r="C8" s="42" t="s">
        <v>19</v>
      </c>
      <c r="D8" s="42" t="s">
        <v>23</v>
      </c>
      <c r="E8" s="42" t="s">
        <v>23</v>
      </c>
      <c r="G8" s="42" t="s">
        <v>22</v>
      </c>
      <c r="H8" s="42" t="s">
        <v>17</v>
      </c>
      <c r="I8" s="42" t="s">
        <v>12</v>
      </c>
      <c r="J8" s="42" t="s">
        <v>23</v>
      </c>
      <c r="K8" s="42" t="s">
        <v>23</v>
      </c>
    </row>
    <row r="9" spans="1:11" ht="24.95" customHeight="1" x14ac:dyDescent="0.3">
      <c r="A9" s="41" t="s">
        <v>24</v>
      </c>
      <c r="B9" s="41" t="s">
        <v>8</v>
      </c>
      <c r="C9" s="41" t="s">
        <v>16</v>
      </c>
      <c r="D9" s="41" t="s">
        <v>23</v>
      </c>
      <c r="E9" s="41" t="s">
        <v>23</v>
      </c>
      <c r="G9" s="41" t="s">
        <v>24</v>
      </c>
      <c r="H9" s="41" t="s">
        <v>19</v>
      </c>
      <c r="I9" s="41" t="s">
        <v>15</v>
      </c>
      <c r="J9" s="41" t="s">
        <v>23</v>
      </c>
      <c r="K9" s="41"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28"/>
  <sheetViews>
    <sheetView showGridLines="0" tabSelected="1" workbookViewId="0">
      <selection activeCell="L17" sqref="L17"/>
    </sheetView>
  </sheetViews>
  <sheetFormatPr defaultRowHeight="15" x14ac:dyDescent="0.25"/>
  <cols>
    <col min="1" max="1" width="22.7109375" customWidth="1"/>
    <col min="2" max="9" width="14.7109375" customWidth="1"/>
    <col min="10" max="10" width="18.7109375" customWidth="1"/>
    <col min="14" max="14" width="13" hidden="1" customWidth="1"/>
    <col min="27" max="30" width="2.7109375" hidden="1" customWidth="1"/>
  </cols>
  <sheetData>
    <row r="1" spans="1:14" ht="39.950000000000003" customHeight="1" x14ac:dyDescent="0.25">
      <c r="A1" s="59" t="s">
        <v>25</v>
      </c>
      <c r="B1" s="58"/>
      <c r="C1" s="58"/>
      <c r="D1" s="58"/>
      <c r="E1" s="58"/>
      <c r="F1" s="58"/>
      <c r="G1" s="58"/>
      <c r="H1" s="58"/>
      <c r="I1" s="58"/>
      <c r="J1" s="58"/>
      <c r="K1" s="58"/>
      <c r="L1" s="58"/>
      <c r="N1" t="s">
        <v>26</v>
      </c>
    </row>
    <row r="2" spans="1:14" ht="8.1" customHeight="1" x14ac:dyDescent="0.25">
      <c r="N2" t="s">
        <v>17</v>
      </c>
    </row>
    <row r="3" spans="1:14" ht="26.1" customHeight="1" x14ac:dyDescent="0.3">
      <c r="A3" s="57" t="s">
        <v>27</v>
      </c>
      <c r="B3" s="58"/>
      <c r="C3" s="58"/>
      <c r="D3" s="58"/>
      <c r="E3" s="58"/>
      <c r="F3" s="58"/>
      <c r="N3" t="s">
        <v>14</v>
      </c>
    </row>
    <row r="4" spans="1:14" x14ac:dyDescent="0.25">
      <c r="N4" t="s">
        <v>8</v>
      </c>
    </row>
    <row r="5" spans="1:14" ht="20.100000000000001" customHeight="1" x14ac:dyDescent="0.25">
      <c r="A5" s="6" t="s">
        <v>28</v>
      </c>
      <c r="C5" s="6" t="s">
        <v>29</v>
      </c>
      <c r="E5" s="6" t="s">
        <v>30</v>
      </c>
      <c r="G5" s="6" t="s">
        <v>31</v>
      </c>
      <c r="N5" t="s">
        <v>19</v>
      </c>
    </row>
    <row r="6" spans="1:14" ht="38.1" customHeight="1" x14ac:dyDescent="0.25">
      <c r="A6" s="64">
        <f ca="1">SUMPRODUCT(COUNTIFS(INDIRECT("'"&amp;Subjects&amp;"'!A4:A1000"),"?*"))</f>
        <v>65</v>
      </c>
      <c r="B6" s="61"/>
      <c r="C6" s="66">
        <f ca="1">A6-E6-G6</f>
        <v>43</v>
      </c>
      <c r="D6" s="61"/>
      <c r="E6" s="65">
        <f ca="1">SUMPRODUCT(COUNTIFS(INDIRECT("'"&amp;Subjects&amp;"'!A4:A1000"),"?*",INDIRECT("'"&amp;Subjects&amp;"'!B4:B1000"),"In Progress"))</f>
        <v>6</v>
      </c>
      <c r="F6" s="61"/>
      <c r="G6" s="60">
        <f ca="1">SUMPRODUCT(COUNTIFS(INDIRECT("'"&amp;Subjects&amp;"'!A4:A1000"),"?*",INDIRECT("'"&amp;Subjects&amp;"'!B4:B1000"),"Completed"))</f>
        <v>16</v>
      </c>
      <c r="H6" s="61"/>
      <c r="N6" t="s">
        <v>16</v>
      </c>
    </row>
    <row r="7" spans="1:14" x14ac:dyDescent="0.25">
      <c r="N7" t="s">
        <v>9</v>
      </c>
    </row>
    <row r="8" spans="1:14" ht="20.100000000000001" customHeight="1" x14ac:dyDescent="0.25">
      <c r="A8" s="6" t="s">
        <v>32</v>
      </c>
      <c r="C8" s="6" t="s">
        <v>33</v>
      </c>
      <c r="N8" t="s">
        <v>12</v>
      </c>
    </row>
    <row r="9" spans="1:14" ht="38.1" customHeight="1" x14ac:dyDescent="0.25">
      <c r="A9" s="63">
        <f ca="1">SUMPRODUCT(COUNTIFS(INDIRECT("'"&amp;Subjects&amp;"'!A4:A1000"),"?*",INDIRECT("'"&amp;Subjects&amp;"'!C4:C1000"),"Amber"))</f>
        <v>5</v>
      </c>
      <c r="B9" s="61"/>
      <c r="C9" s="62">
        <f ca="1">SUMPRODUCT(COUNTIFS(INDIRECT("'"&amp;Subjects&amp;"'!A4:A1000"),"?*",INDIRECT("'"&amp;Subjects&amp;"'!C4:C1000"),"Red"))</f>
        <v>1</v>
      </c>
      <c r="D9" s="61"/>
      <c r="N9" t="s">
        <v>10</v>
      </c>
    </row>
    <row r="10" spans="1:14" x14ac:dyDescent="0.25">
      <c r="N10" t="s">
        <v>11</v>
      </c>
    </row>
    <row r="11" spans="1:14" ht="9.9499999999999993" customHeight="1" x14ac:dyDescent="0.25">
      <c r="N11" t="s">
        <v>15</v>
      </c>
    </row>
    <row r="12" spans="1:14" ht="26.1" customHeight="1" x14ac:dyDescent="0.3">
      <c r="A12" s="57" t="s">
        <v>34</v>
      </c>
      <c r="B12" s="58"/>
      <c r="C12" s="58"/>
      <c r="D12" s="58"/>
      <c r="E12" s="58"/>
      <c r="F12" s="58"/>
      <c r="G12" s="58"/>
      <c r="H12" s="58"/>
    </row>
    <row r="13" spans="1:14" ht="30" customHeight="1" x14ac:dyDescent="0.25">
      <c r="A13" s="27" t="s">
        <v>35</v>
      </c>
      <c r="B13" s="28" t="s">
        <v>36</v>
      </c>
      <c r="C13" s="28" t="s">
        <v>29</v>
      </c>
      <c r="D13" s="28" t="s">
        <v>30</v>
      </c>
      <c r="E13" s="28" t="s">
        <v>31</v>
      </c>
      <c r="F13" s="28" t="s">
        <v>37</v>
      </c>
      <c r="G13" s="28" t="s">
        <v>32</v>
      </c>
      <c r="H13" s="47" t="s">
        <v>33</v>
      </c>
      <c r="I13" s="51" t="s">
        <v>151</v>
      </c>
      <c r="J13" s="48" t="s">
        <v>38</v>
      </c>
    </row>
    <row r="14" spans="1:14" ht="24.95" customHeight="1" x14ac:dyDescent="0.25">
      <c r="A14" s="23" t="s">
        <v>17</v>
      </c>
      <c r="B14" s="24">
        <f ca="1">SUMPRODUCT(COUNTIFS(INDIRECT("'Biology'!A4:A1000"),"?*"))</f>
        <v>8</v>
      </c>
      <c r="C14" s="24">
        <f t="shared" ref="C14:C23" ca="1" si="0">B14-D14-E14</f>
        <v>5</v>
      </c>
      <c r="D14" s="24">
        <f ca="1">SUMPRODUCT(COUNTIFS(INDIRECT("'Biology'!A4:A1000"),"?*",INDIRECT("'Biology'!B4:B1000"),"In Progress"))</f>
        <v>0</v>
      </c>
      <c r="E14" s="24">
        <f ca="1">SUMPRODUCT(COUNTIFS(INDIRECT("'Biology'!A4:A1000"),"?*",INDIRECT("'Biology'!B4:B1000"),"Completed"))</f>
        <v>3</v>
      </c>
      <c r="F14" s="24">
        <f ca="1">SUMPRODUCT(COUNTIFS(INDIRECT("'Biology'!A4:A1000"),"?*",INDIRECT("'Biology'!C4:C1000"),"Green"))</f>
        <v>3</v>
      </c>
      <c r="G14" s="24">
        <f ca="1">SUMPRODUCT(COUNTIFS(INDIRECT("'Biology'!A4:A1000"),"?*",INDIRECT("'Biology'!C4:C1000"),"Amber"))</f>
        <v>0</v>
      </c>
      <c r="H14" s="49">
        <f ca="1">SUMPRODUCT(COUNTIFS(INDIRECT("'Biology'!A4:A1000"),"?*",INDIRECT("'Biology'!C4:C1000"),"Red"))</f>
        <v>0</v>
      </c>
      <c r="I14" s="55">
        <f t="shared" ref="I14:I23" ca="1" si="1">IFERROR(E14/B14, 0)</f>
        <v>0.375</v>
      </c>
      <c r="J14" s="50" t="str">
        <f ca="1">IF(MAX(Biology!D4:D1000)=0, "-", IF(MAX(Biology!D4:D1000)=TODAY(), "Today", IF(TODAY()-MAX(Biology!D4:D1000)=1, "Yesterday", TODAY()-MAX(Biology!D4:D1000) &amp; " days ago")))</f>
        <v>Yesterday</v>
      </c>
    </row>
    <row r="15" spans="1:14" ht="24.95" customHeight="1" x14ac:dyDescent="0.25">
      <c r="A15" s="25" t="s">
        <v>14</v>
      </c>
      <c r="B15" s="26">
        <f ca="1">SUMPRODUCT(COUNTIFS(INDIRECT("'Chemistry'!A4:A1000"),"?*"))</f>
        <v>10</v>
      </c>
      <c r="C15" s="26">
        <f t="shared" ca="1" si="0"/>
        <v>7</v>
      </c>
      <c r="D15" s="26">
        <f ca="1">SUMPRODUCT(COUNTIFS(INDIRECT("'Chemistry'!A4:A1000"),"?*",INDIRECT("'Chemistry'!B4:B1000"),"In Progress"))</f>
        <v>0</v>
      </c>
      <c r="E15" s="26">
        <f ca="1">SUMPRODUCT(COUNTIFS(INDIRECT("'Chemistry'!A4:A1000"),"?*",INDIRECT("'Chemistry'!B4:B1000"),"Completed"))</f>
        <v>3</v>
      </c>
      <c r="F15" s="26">
        <f ca="1">SUMPRODUCT(COUNTIFS(INDIRECT("'Chemistry'!A4:A1000"),"?*",INDIRECT("'Chemistry'!C4:C1000"),"Green"))</f>
        <v>3</v>
      </c>
      <c r="G15" s="26">
        <f ca="1">SUMPRODUCT(COUNTIFS(INDIRECT("'Chemistry'!A4:A1000"),"?*",INDIRECT("'Chemistry'!C4:C1000"),"Amber"))</f>
        <v>0</v>
      </c>
      <c r="H15" s="53">
        <f ca="1">SUMPRODUCT(COUNTIFS(INDIRECT("'Chemistry'!A4:A1000"),"?*",INDIRECT("'Chemistry'!C4:C1000"),"Red"))</f>
        <v>0</v>
      </c>
      <c r="I15" s="56">
        <f t="shared" ca="1" si="1"/>
        <v>0.3</v>
      </c>
      <c r="J15" s="54" t="str">
        <f ca="1">IF(MAX(Chemistry!D4:D1000)=0, "N/A", IF(MAX(Chemistry!D4:D1000)=TODAY(), "Today", IF(TODAY()-MAX(Chemistry!D4:D1000)=1, "Yesterday", TODAY()-MAX(Chemistry!D4:D1000) &amp; " days ago")))</f>
        <v>Today</v>
      </c>
    </row>
    <row r="16" spans="1:14" ht="24.95" customHeight="1" x14ac:dyDescent="0.25">
      <c r="A16" s="23" t="s">
        <v>8</v>
      </c>
      <c r="B16" s="24">
        <f ca="1">SUMPRODUCT(COUNTIFS(INDIRECT("'Physics'!A4:A1000"),"?*"))</f>
        <v>11</v>
      </c>
      <c r="C16" s="24">
        <f t="shared" ca="1" si="0"/>
        <v>8</v>
      </c>
      <c r="D16" s="24">
        <f ca="1">SUMPRODUCT(COUNTIFS(INDIRECT("'Physics'!A4:A1000"),"?*",INDIRECT("'Physics'!B4:B1000"),"In Progress"))</f>
        <v>0</v>
      </c>
      <c r="E16" s="24">
        <f ca="1">SUMPRODUCT(COUNTIFS(INDIRECT("'Physics'!A4:A1000"),"?*",INDIRECT("'Physics'!B4:B1000"),"Completed"))</f>
        <v>3</v>
      </c>
      <c r="F16" s="24">
        <f ca="1">SUMPRODUCT(COUNTIFS(INDIRECT("'Physics'!A4:A1000"),"?*",INDIRECT("'Physics'!C4:C1000"),"Green"))</f>
        <v>3</v>
      </c>
      <c r="G16" s="24">
        <f ca="1">SUMPRODUCT(COUNTIFS(INDIRECT("'Physics'!A4:A1000"),"?*",INDIRECT("'Physics'!C4:C1000"),"Amber"))</f>
        <v>0</v>
      </c>
      <c r="H16" s="49">
        <f ca="1">SUMPRODUCT(COUNTIFS(INDIRECT("'Physics'!A4:A1000"),"?*",INDIRECT("'Physics'!C4:C1000"),"Red"))</f>
        <v>0</v>
      </c>
      <c r="I16" s="55">
        <f t="shared" ca="1" si="1"/>
        <v>0.27272727272727271</v>
      </c>
      <c r="J16" s="50" t="str">
        <f ca="1">IF(MAX(Physics!D4:D1000)=0, "-", IF(MAX(Physics!D4:D1000)=TODAY(), "Today", IF(TODAY()-MAX(Physics!D4:D1000)=1, "Yesterday", TODAY()-MAX(Physics!D4:D1000) &amp; " days ago")))</f>
        <v>2 days ago</v>
      </c>
    </row>
    <row r="17" spans="1:30" ht="24.95" customHeight="1" x14ac:dyDescent="0.25">
      <c r="A17" s="25" t="s">
        <v>19</v>
      </c>
      <c r="B17" s="26">
        <f ca="1">SUMPRODUCT(COUNTIFS(INDIRECT("'Mathematics'!A4:A1000"),"?*"))</f>
        <v>1</v>
      </c>
      <c r="C17" s="26">
        <f t="shared" ca="1" si="0"/>
        <v>0</v>
      </c>
      <c r="D17" s="26">
        <f ca="1">SUMPRODUCT(COUNTIFS(INDIRECT("'Mathematics'!A4:A1000"),"?*",INDIRECT("'Mathematics'!B4:B1000"),"In Progress"))</f>
        <v>1</v>
      </c>
      <c r="E17" s="26">
        <f ca="1">SUMPRODUCT(COUNTIFS(INDIRECT("'Mathematics'!A4:A1000"),"?*",INDIRECT("'Mathematics'!B4:B1000"),"Completed"))</f>
        <v>0</v>
      </c>
      <c r="F17" s="26">
        <f ca="1">SUMPRODUCT(COUNTIFS(INDIRECT("'Mathematics'!A4:A1000"),"?*",INDIRECT("'Mathematics'!C4:C1000"),"Green"))</f>
        <v>1</v>
      </c>
      <c r="G17" s="26">
        <f ca="1">SUMPRODUCT(COUNTIFS(INDIRECT("'Mathematics'!A4:A1000"),"?*",INDIRECT("'Mathematics'!C4:C1000"),"Amber"))</f>
        <v>0</v>
      </c>
      <c r="H17" s="53">
        <f ca="1">SUMPRODUCT(COUNTIFS(INDIRECT("'Mathematics'!A4:A1000"),"?*",INDIRECT("'Mathematics'!C4:C1000"),"Red"))</f>
        <v>0</v>
      </c>
      <c r="I17" s="56">
        <f t="shared" ca="1" si="1"/>
        <v>0</v>
      </c>
      <c r="J17" s="54" t="str">
        <f ca="1">IF(MAX(Mathematics!D4:D1000)=0, "-", IF(MAX(Mathematics!D4:D1000)=TODAY(), "Today", IF(TODAY()-MAX(Mathematics!D4:D1000)=1, "Yesterday", TODAY()-MAX(Mathematics!D4:D1000) &amp; " days ago")))</f>
        <v>2 days ago</v>
      </c>
    </row>
    <row r="18" spans="1:30" ht="24.95" customHeight="1" x14ac:dyDescent="0.25">
      <c r="A18" s="23" t="s">
        <v>16</v>
      </c>
      <c r="B18" s="24">
        <f ca="1">SUMPRODUCT(COUNTIFS(INDIRECT("'English Language'!A4:A1000"),"?*"))</f>
        <v>9</v>
      </c>
      <c r="C18" s="24">
        <f t="shared" ca="1" si="0"/>
        <v>4</v>
      </c>
      <c r="D18" s="24">
        <f ca="1">SUMPRODUCT(COUNTIFS(INDIRECT("'English Language'!A4:A1000"),"?*",INDIRECT("'English Language'!B4:B1000"),"In Progress"))</f>
        <v>0</v>
      </c>
      <c r="E18" s="24">
        <f ca="1">SUMPRODUCT(COUNTIFS(INDIRECT("'English Language'!A4:A1000"),"?*",INDIRECT("'English Language'!B4:B1000"),"Completed"))</f>
        <v>5</v>
      </c>
      <c r="F18" s="24">
        <f ca="1">SUMPRODUCT(COUNTIFS(INDIRECT("'English Language'!A4:A1000"),"?*",INDIRECT("'English Language'!C4:C1000"),"Green"))</f>
        <v>1</v>
      </c>
      <c r="G18" s="24">
        <f ca="1">SUMPRODUCT(COUNTIFS(INDIRECT("'English Language'!A4:A1000"),"?*",INDIRECT("'English Language'!C4:C1000"),"Amber"))</f>
        <v>3</v>
      </c>
      <c r="H18" s="49">
        <f ca="1">SUMPRODUCT(COUNTIFS(INDIRECT("'English Language'!A4:A1000"),"?*",INDIRECT("'English Language'!C4:C1000"),"Red"))</f>
        <v>1</v>
      </c>
      <c r="I18" s="55">
        <f t="shared" ca="1" si="1"/>
        <v>0.55555555555555558</v>
      </c>
      <c r="J18" s="50" t="str">
        <f ca="1">IF(MAX('English Language'!D4:D1000)=0, "-", IF(MAX('English Language'!D4:D1000)=TODAY(), "Today", IF(TODAY()-MAX('English Language'!D4:D1000)=1, "Yesterday", TODAY()-MAX('English Language'!D4:D1000) &amp; " days ago")))</f>
        <v>Yesterday</v>
      </c>
    </row>
    <row r="19" spans="1:30" ht="24.95" customHeight="1" x14ac:dyDescent="0.25">
      <c r="A19" s="25" t="s">
        <v>9</v>
      </c>
      <c r="B19" s="26">
        <f ca="1">SUMPRODUCT(COUNTIFS(INDIRECT("'English Literature'!A4:A1000"),"?*"))</f>
        <v>6</v>
      </c>
      <c r="C19" s="26">
        <f t="shared" ca="1" si="0"/>
        <v>5</v>
      </c>
      <c r="D19" s="26">
        <f ca="1">SUMPRODUCT(COUNTIFS(INDIRECT("'English Literature'!A4:A1000"),"?*",INDIRECT("'English Literature'!B4:B1000"),"In Progress"))</f>
        <v>1</v>
      </c>
      <c r="E19" s="26">
        <f ca="1">SUMPRODUCT(COUNTIFS(INDIRECT("'English Literature'!A4:A1000"),"?*",INDIRECT("'English Literature'!B4:B1000"),"Completed"))</f>
        <v>0</v>
      </c>
      <c r="F19" s="26">
        <f ca="1">SUMPRODUCT(COUNTIFS(INDIRECT("'English Literature'!A4:A1000"),"?*",INDIRECT("'English Literature'!C4:C1000"),"Green"))</f>
        <v>0</v>
      </c>
      <c r="G19" s="26">
        <f ca="1">SUMPRODUCT(COUNTIFS(INDIRECT("'English Literature'!A4:A1000"),"?*",INDIRECT("'English Literature'!C4:C1000"),"Amber"))</f>
        <v>1</v>
      </c>
      <c r="H19" s="53">
        <f ca="1">SUMPRODUCT(COUNTIFS(INDIRECT("'English Literature'!A4:A1000"),"?*",INDIRECT("'English Literature'!C4:C1000"),"Red"))</f>
        <v>0</v>
      </c>
      <c r="I19" s="56">
        <f t="shared" ca="1" si="1"/>
        <v>0</v>
      </c>
      <c r="J19" s="54" t="str">
        <f ca="1">IF(MAX('English Literature'!D4:D1000)=0, "-", IF(MAX('English Literature'!D4:D1000)=TODAY(), "Today", IF(TODAY()-MAX('English Literature'!D4:D1000)=1, "Yesterday", TODAY()-MAX('English Literature'!D4:D1000) &amp; " days ago")))</f>
        <v>Today</v>
      </c>
    </row>
    <row r="20" spans="1:30" ht="24.95" customHeight="1" x14ac:dyDescent="0.25">
      <c r="A20" s="23" t="s">
        <v>12</v>
      </c>
      <c r="B20" s="24">
        <f ca="1">SUMPRODUCT(COUNTIFS(INDIRECT("'Geography'!A4:A1000"),"?*"))</f>
        <v>5</v>
      </c>
      <c r="C20" s="24">
        <f t="shared" ca="1" si="0"/>
        <v>3</v>
      </c>
      <c r="D20" s="24">
        <f ca="1">SUMPRODUCT(COUNTIFS(INDIRECT("'Geography'!A4:A1000"),"?*",INDIRECT("'Geography'!B4:B1000"),"In Progress"))</f>
        <v>1</v>
      </c>
      <c r="E20" s="24">
        <f ca="1">SUMPRODUCT(COUNTIFS(INDIRECT("'Geography'!A4:A1000"),"?*",INDIRECT("'Geography'!B4:B1000"),"Completed"))</f>
        <v>1</v>
      </c>
      <c r="F20" s="24">
        <f ca="1">SUMPRODUCT(COUNTIFS(INDIRECT("'Geography'!A4:A1000"),"?*",INDIRECT("'Geography'!C4:C1000"),"Green"))</f>
        <v>2</v>
      </c>
      <c r="G20" s="24">
        <f ca="1">SUMPRODUCT(COUNTIFS(INDIRECT("'Geography'!A4:A1000"),"?*",INDIRECT("'Geography'!C4:C1000"),"Amber"))</f>
        <v>0</v>
      </c>
      <c r="H20" s="49">
        <f ca="1">SUMPRODUCT(COUNTIFS(INDIRECT("'Geography'!A4:A1000"),"?*",INDIRECT("'Geography'!C4:C1000"),"Red"))</f>
        <v>0</v>
      </c>
      <c r="I20" s="55">
        <f t="shared" ca="1" si="1"/>
        <v>0.2</v>
      </c>
      <c r="J20" s="50" t="str">
        <f ca="1">IF(MAX(Geography!D4:D1000)=0, "-", IF(MAX(Geography!D4:D1000)=TODAY(), "Today", IF(TODAY()-MAX(Geography!D4:D1000)=1, "Yesterday", TODAY()-MAX(Geography!D4:D1000) &amp; " days ago")))</f>
        <v>Today</v>
      </c>
    </row>
    <row r="21" spans="1:30" ht="24.95" customHeight="1" x14ac:dyDescent="0.25">
      <c r="A21" s="25" t="s">
        <v>10</v>
      </c>
      <c r="B21" s="26">
        <f ca="1">SUMPRODUCT(COUNTIFS(INDIRECT("'History'!A4:A1000"),"?*"))</f>
        <v>3</v>
      </c>
      <c r="C21" s="26">
        <f t="shared" ca="1" si="0"/>
        <v>2</v>
      </c>
      <c r="D21" s="26">
        <f ca="1">SUMPRODUCT(COUNTIFS(INDIRECT("'History'!A4:A1000"),"?*",INDIRECT("'History'!B4:B1000"),"In Progress"))</f>
        <v>1</v>
      </c>
      <c r="E21" s="26">
        <f ca="1">SUMPRODUCT(COUNTIFS(INDIRECT("'History'!A4:A1000"),"?*",INDIRECT("'History'!B4:B1000"),"Completed"))</f>
        <v>0</v>
      </c>
      <c r="F21" s="26">
        <f ca="1">SUMPRODUCT(COUNTIFS(INDIRECT("'History'!A4:A1000"),"?*",INDIRECT("'History'!C4:C1000"),"Green"))</f>
        <v>1</v>
      </c>
      <c r="G21" s="26">
        <f ca="1">SUMPRODUCT(COUNTIFS(INDIRECT("'History'!A4:A1000"),"?*",INDIRECT("'History'!C4:C1000"),"Amber"))</f>
        <v>0</v>
      </c>
      <c r="H21" s="53">
        <f ca="1">SUMPRODUCT(COUNTIFS(INDIRECT("'History'!A4:A1000"),"?*",INDIRECT("'History'!C4:C1000"),"Red"))</f>
        <v>0</v>
      </c>
      <c r="I21" s="56">
        <f t="shared" ca="1" si="1"/>
        <v>0</v>
      </c>
      <c r="J21" s="54" t="str">
        <f ca="1">IF(MAX(History!D4:D1000)=0, "-", IF(MAX(History!D4:D1000)=TODAY(), "Today", IF(TODAY()-MAX(History!D4:D1000)=1, "Yesterday", TODAY()-MAX(History!D4:D1000) &amp; " days ago")))</f>
        <v>Yesterday</v>
      </c>
    </row>
    <row r="22" spans="1:30" ht="24.95" customHeight="1" x14ac:dyDescent="0.25">
      <c r="A22" s="23" t="s">
        <v>11</v>
      </c>
      <c r="B22" s="24">
        <f ca="1">SUMPRODUCT(COUNTIFS(INDIRECT("'Spanish'!A4:A1000"),"?*"))</f>
        <v>4</v>
      </c>
      <c r="C22" s="24">
        <f t="shared" ca="1" si="0"/>
        <v>3</v>
      </c>
      <c r="D22" s="24">
        <f ca="1">SUMPRODUCT(COUNTIFS(INDIRECT("'Spanish'!A4:A1000"),"?*",INDIRECT("'Spanish'!B4:B1000"),"In Progress"))</f>
        <v>1</v>
      </c>
      <c r="E22" s="24">
        <f ca="1">SUMPRODUCT(COUNTIFS(INDIRECT("'Spanish'!A4:A1000"),"?*",INDIRECT("'Spanish'!B4:B1000"),"Completed"))</f>
        <v>0</v>
      </c>
      <c r="F22" s="24">
        <f ca="1">SUMPRODUCT(COUNTIFS(INDIRECT("'Spanish'!A4:A1000"),"?*",INDIRECT("'Spanish'!C4:C1000"),"Green"))</f>
        <v>1</v>
      </c>
      <c r="G22" s="24">
        <f ca="1">SUMPRODUCT(COUNTIFS(INDIRECT("'Spanish'!A4:A1000"),"?*",INDIRECT("'Spanish'!C4:C1000"),"Amber"))</f>
        <v>0</v>
      </c>
      <c r="H22" s="49">
        <f ca="1">SUMPRODUCT(COUNTIFS(INDIRECT("'Spanish'!A4:A1000"),"?*",INDIRECT("'Spanish'!C4:C1000"),"Red"))</f>
        <v>0</v>
      </c>
      <c r="I22" s="55">
        <f t="shared" ca="1" si="1"/>
        <v>0</v>
      </c>
      <c r="J22" s="50" t="str">
        <f ca="1">IF(MAX(Spanish!D4:D1000)=0, "-", IF(MAX(Spanish!D4:D1000)=TODAY(), "Today", IF(TODAY()-MAX(Spanish!D4:D1000)=1, "Yesterday", TODAY()-MAX(Spanish!D4:D1000) &amp; " days ago")))</f>
        <v>Yesterday</v>
      </c>
    </row>
    <row r="23" spans="1:30" ht="24.95" customHeight="1" x14ac:dyDescent="0.25">
      <c r="A23" s="25" t="s">
        <v>15</v>
      </c>
      <c r="B23" s="26">
        <f ca="1">SUMPRODUCT(COUNTIFS(INDIRECT("'Computer Science'!A4:A1000"),"?*"))</f>
        <v>8</v>
      </c>
      <c r="C23" s="26">
        <f t="shared" ca="1" si="0"/>
        <v>6</v>
      </c>
      <c r="D23" s="26">
        <f ca="1">SUMPRODUCT(COUNTIFS(INDIRECT("'Computer Science'!A4:A1000"),"?*",INDIRECT("'Computer Science'!B4:B1000"),"In Progress"))</f>
        <v>1</v>
      </c>
      <c r="E23" s="26">
        <f ca="1">SUMPRODUCT(COUNTIFS(INDIRECT("'Computer Science'!A4:A1000"),"?*",INDIRECT("'Computer Science'!B4:B1000"),"Completed"))</f>
        <v>1</v>
      </c>
      <c r="F23" s="26">
        <f ca="1">SUMPRODUCT(COUNTIFS(INDIRECT("'Computer Science'!A4:A1000"),"?*",INDIRECT("'Computer Science'!C4:C1000"),"Green"))</f>
        <v>1</v>
      </c>
      <c r="G23" s="26">
        <f ca="1">SUMPRODUCT(COUNTIFS(INDIRECT("'Computer Science'!A4:A1000"),"?*",INDIRECT("'Computer Science'!C4:C1000"),"Amber"))</f>
        <v>1</v>
      </c>
      <c r="H23" s="53">
        <f ca="1">SUMPRODUCT(COUNTIFS(INDIRECT("'Computer Science'!A4:A1000"),"?*",INDIRECT("'Computer Science'!C4:C1000"),"Red"))</f>
        <v>0</v>
      </c>
      <c r="I23" s="52">
        <f t="shared" ca="1" si="1"/>
        <v>0.125</v>
      </c>
      <c r="J23" s="54" t="str">
        <f ca="1">IF(MAX('Computer Science'!D4:D1000)=0, "-", IF(MAX('Computer Science'!D4:D1000)=TODAY(), "Today", IF(TODAY()-MAX('Computer Science'!D4:D1000)=1, "Yesterday", TODAY()-MAX('Computer Science'!D4:D1000) &amp; " days ago")))</f>
        <v>Today</v>
      </c>
    </row>
    <row r="25" spans="1:30" ht="24.95" customHeight="1" x14ac:dyDescent="0.3">
      <c r="A25" s="39" t="s">
        <v>39</v>
      </c>
    </row>
    <row r="26" spans="1:30" ht="45" customHeight="1" x14ac:dyDescent="0.25">
      <c r="A26" s="67" t="s">
        <v>3</v>
      </c>
      <c r="B26" s="67"/>
      <c r="C26" s="67" t="s">
        <v>4</v>
      </c>
      <c r="D26" s="67"/>
      <c r="E26" s="67" t="s">
        <v>5</v>
      </c>
      <c r="F26" s="67"/>
      <c r="G26" s="67" t="s">
        <v>6</v>
      </c>
      <c r="H26" s="67"/>
      <c r="I26" s="45"/>
    </row>
    <row r="27" spans="1:30" ht="45" customHeight="1" x14ac:dyDescent="0.25">
      <c r="A27" s="68" t="str">
        <f ca="1">IFERROR(HYPERLINK("#'"&amp;INDEX('Revision Timetable'!B2:E8, MATCH(TEXT(TODAY(),"dddd"), 'Revision Timetable'!A2:A8, 0), 1)&amp;"'!A4", INDEX('Revision Timetable'!B2:E8, MATCH(TEXT(TODAY(),"dddd"), 'Revision Timetable'!A2:A8, 0), 1)), "-")</f>
        <v>Chemistry</v>
      </c>
      <c r="B27" s="70"/>
      <c r="C27" s="68" t="str">
        <f ca="1">IFERROR(HYPERLINK("#'"&amp;INDEX('Revision Timetable'!B2:E8, MATCH(TEXT(TODAY(),"dddd"), 'Revision Timetable'!A2:A8, 0), 2)&amp;"'!A4", INDEX('Revision Timetable'!B2:E8, MATCH(TEXT(TODAY(),"dddd"), 'Revision Timetable'!A2:A8, 0), 2)), "-")</f>
        <v>English Literature</v>
      </c>
      <c r="D27" s="70"/>
      <c r="E27" s="68" t="str">
        <f ca="1">IFERROR(HYPERLINK("#'"&amp;INDEX('Revision Timetable'!B2:E8, MATCH(TEXT(TODAY(),"dddd"), 'Revision Timetable'!A2:A8, 0), 3)&amp;"'!A4", INDEX('Revision Timetable'!B2:E8, MATCH(TEXT(TODAY(),"dddd"), 'Revision Timetable'!A2:A8, 0), 3)), "-")</f>
        <v>Computer Science</v>
      </c>
      <c r="F27" s="70"/>
      <c r="G27" s="68" t="str">
        <f ca="1">IFERROR(HYPERLINK("#'"&amp;INDEX('Revision Timetable'!B2:E8, MATCH(TEXT(TODAY(),"dddd"), 'Revision Timetable'!A2:A8, 0), 4)&amp;"'!A4", INDEX('Revision Timetable'!B2:E8, MATCH(TEXT(TODAY(),"dddd"), 'Revision Timetable'!A2:A8, 0), 4)), "-")</f>
        <v>Geography</v>
      </c>
      <c r="H27" s="69"/>
      <c r="I27" s="46"/>
      <c r="AA27" s="43" t="b">
        <f ca="1">IFERROR(VLOOKUP(A27, $A$13:$J$23, 9, FALSE)="Today", FALSE)</f>
        <v>0</v>
      </c>
      <c r="AB27" s="43" t="b">
        <f ca="1">IFERROR(VLOOKUP(C27, $A$13:$J$23, 9, FALSE)="Today", FALSE)</f>
        <v>0</v>
      </c>
      <c r="AC27" s="43" t="b">
        <f ca="1">IFERROR(VLOOKUP(E27, $A$13:$J$23, 9, FALSE)="Today", FALSE)</f>
        <v>0</v>
      </c>
      <c r="AD27" s="43" t="b">
        <f ca="1">IFERROR(VLOOKUP(G27, $A$13:$J$23, 9, FALSE)="Today", FALSE)</f>
        <v>0</v>
      </c>
    </row>
    <row r="28" spans="1:30" x14ac:dyDescent="0.25">
      <c r="A28" s="44" t="str">
        <f ca="1">IF(COUNTIFS($A$13:$A$23, A27, $J$13:$J$23, "Today")&gt;0, "DONE", "NOT DONE")</f>
        <v>DONE</v>
      </c>
      <c r="C28" s="44" t="str">
        <f ca="1">IF(COUNTIFS($A$13:$A$23, C27, $J$13:$J$23, "Today")&gt;0, "DONE", "NOT DONE")</f>
        <v>DONE</v>
      </c>
      <c r="E28" s="44" t="str">
        <f ca="1">IF(COUNTIFS($A$13:$A$23, E27, $J$13:$J$23, "Today")&gt;0, "DONE", "NOT DONE")</f>
        <v>DONE</v>
      </c>
      <c r="G28" s="44" t="str">
        <f ca="1">IF(COUNTIFS($A$13:$A$23, G27, $J$13:$J$23, "Today")&gt;0, "DONE", "NOT DONE")</f>
        <v>DONE</v>
      </c>
    </row>
  </sheetData>
  <mergeCells count="17">
    <mergeCell ref="G26:H26"/>
    <mergeCell ref="G27:H27"/>
    <mergeCell ref="A26:B26"/>
    <mergeCell ref="A27:B27"/>
    <mergeCell ref="C26:D26"/>
    <mergeCell ref="C27:D27"/>
    <mergeCell ref="E26:F26"/>
    <mergeCell ref="E27:F27"/>
    <mergeCell ref="A12:H12"/>
    <mergeCell ref="A1:L1"/>
    <mergeCell ref="A3:F3"/>
    <mergeCell ref="G6:H6"/>
    <mergeCell ref="C9:D9"/>
    <mergeCell ref="A9:B9"/>
    <mergeCell ref="A6:B6"/>
    <mergeCell ref="E6:F6"/>
    <mergeCell ref="C6:D6"/>
  </mergeCells>
  <conditionalFormatting sqref="A27:I27">
    <cfRule type="cellIs" dxfId="125" priority="72" stopIfTrue="1" operator="equal">
      <formula>"""DONE"""</formula>
    </cfRule>
    <cfRule type="cellIs" dxfId="124" priority="71" stopIfTrue="1" operator="equal">
      <formula>"""NOT DONE"""</formula>
    </cfRule>
  </conditionalFormatting>
  <conditionalFormatting sqref="F14:F23">
    <cfRule type="cellIs" dxfId="123" priority="1" operator="greaterThan">
      <formula>0</formula>
    </cfRule>
  </conditionalFormatting>
  <conditionalFormatting sqref="G14:G23">
    <cfRule type="cellIs" dxfId="122" priority="2" operator="greaterThan">
      <formula>0</formula>
    </cfRule>
  </conditionalFormatting>
  <conditionalFormatting sqref="H14:I23">
    <cfRule type="cellIs" dxfId="121" priority="3" operator="greaterThan">
      <formula>0</formula>
    </cfRule>
  </conditionalFormatting>
  <conditionalFormatting sqref="J14:J23">
    <cfRule type="cellIs" dxfId="120" priority="6" stopIfTrue="1" operator="equal">
      <formula>"-"</formula>
    </cfRule>
    <cfRule type="cellIs" dxfId="119" priority="7" stopIfTrue="1" operator="equal">
      <formula>"4 days ago"</formula>
    </cfRule>
    <cfRule type="cellIs" dxfId="118" priority="8" stopIfTrue="1" operator="equal">
      <formula>"5 days ago"</formula>
    </cfRule>
    <cfRule type="cellIs" dxfId="117" priority="9" stopIfTrue="1" operator="equal">
      <formula>"6 days ago"</formula>
    </cfRule>
    <cfRule type="cellIs" dxfId="116" priority="10" stopIfTrue="1" operator="equal">
      <formula>"7 days ago"</formula>
    </cfRule>
    <cfRule type="cellIs" dxfId="115" priority="11" stopIfTrue="1" operator="equal">
      <formula>"8 days ago"</formula>
    </cfRule>
    <cfRule type="cellIs" dxfId="114" priority="12" stopIfTrue="1" operator="equal">
      <formula>"9 days ago"</formula>
    </cfRule>
    <cfRule type="cellIs" dxfId="113" priority="13" stopIfTrue="1" operator="equal">
      <formula>"10 days ago"</formula>
    </cfRule>
    <cfRule type="cellIs" dxfId="112" priority="14" stopIfTrue="1" operator="equal">
      <formula>"11 days ago"</formula>
    </cfRule>
    <cfRule type="cellIs" dxfId="111" priority="15" stopIfTrue="1" operator="equal">
      <formula>"12 days ago"</formula>
    </cfRule>
    <cfRule type="cellIs" dxfId="110" priority="16" stopIfTrue="1" operator="equal">
      <formula>"13 days ago"</formula>
    </cfRule>
    <cfRule type="cellIs" dxfId="109" priority="17" stopIfTrue="1" operator="equal">
      <formula>"14 days ago"</formula>
    </cfRule>
    <cfRule type="cellIs" dxfId="108" priority="18" stopIfTrue="1" operator="equal">
      <formula>"15 days ago"</formula>
    </cfRule>
    <cfRule type="cellIs" dxfId="107" priority="19" stopIfTrue="1" operator="equal">
      <formula>"16 days ago"</formula>
    </cfRule>
    <cfRule type="cellIs" dxfId="106" priority="20" stopIfTrue="1" operator="equal">
      <formula>"17 days ago"</formula>
    </cfRule>
    <cfRule type="cellIs" dxfId="105" priority="21" stopIfTrue="1" operator="equal">
      <formula>"18 days ago"</formula>
    </cfRule>
    <cfRule type="cellIs" dxfId="104" priority="22" stopIfTrue="1" operator="equal">
      <formula>"19 days ago"</formula>
    </cfRule>
    <cfRule type="cellIs" dxfId="103" priority="23" stopIfTrue="1" operator="equal">
      <formula>"20 days ago"</formula>
    </cfRule>
    <cfRule type="cellIs" dxfId="102" priority="24" stopIfTrue="1" operator="equal">
      <formula>"21 days ago"</formula>
    </cfRule>
    <cfRule type="cellIs" dxfId="101" priority="25" stopIfTrue="1" operator="equal">
      <formula>"22 days ago"</formula>
    </cfRule>
    <cfRule type="cellIs" dxfId="100" priority="26" stopIfTrue="1" operator="equal">
      <formula>"23 days ago"</formula>
    </cfRule>
    <cfRule type="cellIs" dxfId="99" priority="27" stopIfTrue="1" operator="equal">
      <formula>"24 days ago"</formula>
    </cfRule>
    <cfRule type="cellIs" dxfId="98" priority="28" stopIfTrue="1" operator="equal">
      <formula>"25 days ago"</formula>
    </cfRule>
    <cfRule type="cellIs" dxfId="97" priority="29" stopIfTrue="1" operator="equal">
      <formula>"26 days ago"</formula>
    </cfRule>
    <cfRule type="cellIs" dxfId="96" priority="30" stopIfTrue="1" operator="equal">
      <formula>"27 days ago"</formula>
    </cfRule>
    <cfRule type="cellIs" dxfId="95" priority="31" stopIfTrue="1" operator="equal">
      <formula>"28 days ago"</formula>
    </cfRule>
    <cfRule type="cellIs" dxfId="94" priority="32" stopIfTrue="1" operator="equal">
      <formula>"29 days ago"</formula>
    </cfRule>
    <cfRule type="cellIs" dxfId="93" priority="33" stopIfTrue="1" operator="equal">
      <formula>"30 days ago"</formula>
    </cfRule>
    <cfRule type="cellIs" dxfId="92" priority="34" stopIfTrue="1" operator="equal">
      <formula>"31 days ago"</formula>
    </cfRule>
    <cfRule type="cellIs" dxfId="91" priority="35" stopIfTrue="1" operator="equal">
      <formula>"32 days ago"</formula>
    </cfRule>
    <cfRule type="cellIs" dxfId="90" priority="36" stopIfTrue="1" operator="equal">
      <formula>"33 days ago"</formula>
    </cfRule>
    <cfRule type="cellIs" dxfId="89" priority="37" stopIfTrue="1" operator="equal">
      <formula>"34 days ago"</formula>
    </cfRule>
    <cfRule type="cellIs" dxfId="88" priority="38" stopIfTrue="1" operator="equal">
      <formula>"35 days ago"</formula>
    </cfRule>
    <cfRule type="cellIs" dxfId="87" priority="39" stopIfTrue="1" operator="equal">
      <formula>"36 days ago"</formula>
    </cfRule>
    <cfRule type="cellIs" dxfId="86" priority="40" stopIfTrue="1" operator="equal">
      <formula>"37 days ago"</formula>
    </cfRule>
    <cfRule type="cellIs" dxfId="85" priority="41" stopIfTrue="1" operator="equal">
      <formula>"38 days ago"</formula>
    </cfRule>
    <cfRule type="cellIs" dxfId="84" priority="42" stopIfTrue="1" operator="equal">
      <formula>"39 days ago"</formula>
    </cfRule>
    <cfRule type="cellIs" dxfId="83" priority="43" stopIfTrue="1" operator="equal">
      <formula>"40 days ago"</formula>
    </cfRule>
    <cfRule type="cellIs" dxfId="82" priority="44" stopIfTrue="1" operator="equal">
      <formula>"41 days ago"</formula>
    </cfRule>
    <cfRule type="cellIs" dxfId="81" priority="45" stopIfTrue="1" operator="equal">
      <formula>"42 days ago"</formula>
    </cfRule>
    <cfRule type="cellIs" dxfId="80" priority="46" stopIfTrue="1" operator="equal">
      <formula>"43 days ago"</formula>
    </cfRule>
    <cfRule type="cellIs" dxfId="79" priority="47" stopIfTrue="1" operator="equal">
      <formula>"44 days ago"</formula>
    </cfRule>
    <cfRule type="cellIs" dxfId="78" priority="48" stopIfTrue="1" operator="equal">
      <formula>"45 days ago"</formula>
    </cfRule>
    <cfRule type="cellIs" dxfId="77" priority="49" stopIfTrue="1" operator="equal">
      <formula>"46 days ago"</formula>
    </cfRule>
    <cfRule type="cellIs" dxfId="76" priority="4" stopIfTrue="1" operator="equal">
      <formula>"Today"</formula>
    </cfRule>
    <cfRule type="cellIs" dxfId="75" priority="51" stopIfTrue="1" operator="equal">
      <formula>"48 days ago"</formula>
    </cfRule>
    <cfRule type="cellIs" dxfId="74" priority="52" stopIfTrue="1" operator="equal">
      <formula>"49 days ago"</formula>
    </cfRule>
    <cfRule type="cellIs" dxfId="73" priority="53" stopIfTrue="1" operator="equal">
      <formula>"50 days ago"</formula>
    </cfRule>
    <cfRule type="cellIs" dxfId="72" priority="54" stopIfTrue="1" operator="equal">
      <formula>"51 days ago"</formula>
    </cfRule>
    <cfRule type="cellIs" dxfId="71" priority="55" stopIfTrue="1" operator="equal">
      <formula>"52 days ago"</formula>
    </cfRule>
    <cfRule type="cellIs" dxfId="70" priority="56" stopIfTrue="1" operator="equal">
      <formula>"53 days ago"</formula>
    </cfRule>
    <cfRule type="cellIs" dxfId="69" priority="57" stopIfTrue="1" operator="equal">
      <formula>"54 days ago"</formula>
    </cfRule>
    <cfRule type="cellIs" dxfId="68" priority="50" stopIfTrue="1" operator="equal">
      <formula>"47 days ago"</formula>
    </cfRule>
    <cfRule type="cellIs" dxfId="67" priority="59" stopIfTrue="1" operator="equal">
      <formula>"56 days ago"</formula>
    </cfRule>
    <cfRule type="cellIs" dxfId="66" priority="60" stopIfTrue="1" operator="equal">
      <formula>"57 days ago"</formula>
    </cfRule>
    <cfRule type="cellIs" dxfId="65" priority="61" stopIfTrue="1" operator="equal">
      <formula>"58 days ago"</formula>
    </cfRule>
    <cfRule type="cellIs" dxfId="64" priority="62" stopIfTrue="1" operator="equal">
      <formula>"59 days ago"</formula>
    </cfRule>
    <cfRule type="cellIs" dxfId="63" priority="63" stopIfTrue="1" operator="equal">
      <formula>"2 days ago"</formula>
    </cfRule>
    <cfRule type="cellIs" dxfId="62" priority="64" stopIfTrue="1" operator="equal">
      <formula>"3 days ago"</formula>
    </cfRule>
    <cfRule type="cellIs" dxfId="61" priority="5" stopIfTrue="1" operator="equal">
      <formula>"Yesterday"</formula>
    </cfRule>
    <cfRule type="cellIs" dxfId="60" priority="58" stopIfTrue="1" operator="equal">
      <formula>"55 days ago"</formula>
    </cfRule>
  </conditionalFormatting>
  <hyperlinks>
    <hyperlink ref="A14" location="'Biology'!A4" display="Biology" xr:uid="{0349109F-4BAF-4BDF-8B1C-9AE599A8D6EC}"/>
    <hyperlink ref="A15" location="'Chemistry'!A4" display="Chemistry" xr:uid="{E53CEB35-8360-4491-9D51-BE05A96C3677}"/>
    <hyperlink ref="A16" location="'Physics'!A4" display="Physics" xr:uid="{1148B904-6BC4-4105-ACB3-C1CF3AF4E04E}"/>
    <hyperlink ref="A17" location="'Mathematics'!A4" display="Mathematics" xr:uid="{C56B0711-69FE-4938-BC73-EF018A9EAC8C}"/>
    <hyperlink ref="A18" location="'English Language'!A4" display="English Language" xr:uid="{2A21F88B-EF79-4279-89B5-16E8E6BB56D1}"/>
    <hyperlink ref="A19" location="'English Literature'!A4" display="English Literature" xr:uid="{50679304-CA87-4BA0-BE1F-435A2838AFD9}"/>
    <hyperlink ref="A20" location="'Geography'!A4" display="Geography" xr:uid="{088F192C-DCF6-4271-A48F-E7F855795932}"/>
    <hyperlink ref="A21" location="'History'!A4" display="History" xr:uid="{4E898780-31B2-443F-8402-72ED2C3DFD09}"/>
    <hyperlink ref="A22" location="'Spanish'!A4" display="Spanish" xr:uid="{AD1DD75D-86CF-4DA9-B801-23C39D7A095A}"/>
    <hyperlink ref="A23" location="'Computer Science'!A4" display="Computer Science" xr:uid="{3C3204D2-FCC7-4B44-8E31-E949073AD937}"/>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zoomScaleNormal="100" workbookViewId="0">
      <pane ySplit="3" topLeftCell="A4" activePane="bottomLeft" state="frozen"/>
      <selection pane="bottomLeft" activeCell="A4" sqref="A4"/>
    </sheetView>
  </sheetViews>
  <sheetFormatPr defaultRowHeight="15" x14ac:dyDescent="0.25"/>
  <cols>
    <col min="1" max="1" width="30.85546875" customWidth="1"/>
    <col min="2" max="2" width="14" customWidth="1"/>
    <col min="3" max="3" width="19" customWidth="1"/>
    <col min="4" max="4" width="19.28515625" style="19" customWidth="1"/>
    <col min="5" max="5" width="38" customWidth="1"/>
    <col min="6" max="6" width="55.7109375" customWidth="1"/>
  </cols>
  <sheetData>
    <row r="1" spans="1:6" ht="32.1" customHeight="1" x14ac:dyDescent="0.25">
      <c r="A1" s="71" t="s">
        <v>40</v>
      </c>
      <c r="B1" s="58"/>
      <c r="C1" s="58"/>
      <c r="D1" s="58"/>
      <c r="E1" s="58"/>
    </row>
    <row r="2" spans="1:6" ht="18" customHeight="1" x14ac:dyDescent="0.25">
      <c r="A2" s="29" t="s">
        <v>41</v>
      </c>
      <c r="B2" s="1"/>
      <c r="C2" s="1"/>
      <c r="D2" s="17"/>
      <c r="E2" s="1"/>
    </row>
    <row r="3" spans="1:6" ht="26.1" customHeight="1" x14ac:dyDescent="0.25">
      <c r="A3" s="8" t="s">
        <v>42</v>
      </c>
      <c r="B3" s="8" t="s">
        <v>43</v>
      </c>
      <c r="C3" s="8" t="s">
        <v>44</v>
      </c>
      <c r="D3" s="18" t="s">
        <v>38</v>
      </c>
      <c r="E3" s="8" t="s">
        <v>45</v>
      </c>
      <c r="F3" s="33" t="s">
        <v>46</v>
      </c>
    </row>
    <row r="4" spans="1:6" ht="99.75" customHeight="1" x14ac:dyDescent="0.25">
      <c r="A4" s="9" t="s">
        <v>47</v>
      </c>
      <c r="B4" s="10" t="s">
        <v>31</v>
      </c>
      <c r="C4" s="10" t="s">
        <v>37</v>
      </c>
      <c r="D4" s="11">
        <v>46313</v>
      </c>
      <c r="E4" s="34" t="s">
        <v>48</v>
      </c>
      <c r="F4" s="36" t="s">
        <v>49</v>
      </c>
    </row>
    <row r="5" spans="1:6" ht="71.25" customHeight="1" x14ac:dyDescent="0.25">
      <c r="A5" s="32" t="s">
        <v>50</v>
      </c>
      <c r="B5" s="10" t="s">
        <v>31</v>
      </c>
      <c r="C5" s="10" t="s">
        <v>37</v>
      </c>
      <c r="D5" s="11">
        <v>46316</v>
      </c>
      <c r="E5" s="34" t="s">
        <v>51</v>
      </c>
      <c r="F5" s="36"/>
    </row>
    <row r="6" spans="1:6" ht="99" customHeight="1" x14ac:dyDescent="0.25">
      <c r="A6" s="32" t="s">
        <v>52</v>
      </c>
      <c r="B6" s="10" t="s">
        <v>31</v>
      </c>
      <c r="C6" s="10" t="s">
        <v>37</v>
      </c>
      <c r="D6" s="11">
        <v>46317</v>
      </c>
      <c r="E6" s="34" t="s">
        <v>53</v>
      </c>
      <c r="F6" s="36"/>
    </row>
    <row r="7" spans="1:6" ht="106.5" customHeight="1" x14ac:dyDescent="0.25">
      <c r="A7" s="9" t="s">
        <v>54</v>
      </c>
      <c r="B7" s="10"/>
      <c r="C7" s="10"/>
      <c r="D7" s="11"/>
      <c r="E7" s="34"/>
      <c r="F7" s="36"/>
    </row>
    <row r="8" spans="1:6" ht="108" customHeight="1" x14ac:dyDescent="0.25">
      <c r="A8" s="9" t="s">
        <v>55</v>
      </c>
      <c r="B8" s="10"/>
      <c r="C8" s="10"/>
      <c r="D8" s="11"/>
      <c r="E8" s="34"/>
      <c r="F8" s="36"/>
    </row>
    <row r="9" spans="1:6" ht="66" customHeight="1" x14ac:dyDescent="0.25">
      <c r="A9" s="9" t="s">
        <v>56</v>
      </c>
      <c r="B9" s="10"/>
      <c r="C9" s="10"/>
      <c r="D9" s="11"/>
      <c r="E9" s="34"/>
      <c r="F9" s="36"/>
    </row>
    <row r="10" spans="1:6" ht="75" customHeight="1" x14ac:dyDescent="0.25">
      <c r="A10" s="9" t="s">
        <v>57</v>
      </c>
      <c r="B10" s="10"/>
      <c r="C10" s="10"/>
      <c r="D10" s="11"/>
      <c r="E10" s="34"/>
      <c r="F10" s="36"/>
    </row>
    <row r="11" spans="1:6" ht="99" customHeight="1" x14ac:dyDescent="0.25">
      <c r="A11" s="9" t="s">
        <v>58</v>
      </c>
      <c r="B11" s="10"/>
      <c r="C11" s="10"/>
      <c r="D11" s="11"/>
      <c r="E11" s="34"/>
      <c r="F11" s="36"/>
    </row>
    <row r="12" spans="1:6" ht="45.75" customHeight="1" x14ac:dyDescent="0.25">
      <c r="A12" s="9"/>
      <c r="B12" s="10"/>
      <c r="C12" s="10"/>
      <c r="D12" s="11"/>
      <c r="E12" s="34"/>
      <c r="F12" s="36"/>
    </row>
    <row r="13" spans="1:6" ht="24" customHeight="1" x14ac:dyDescent="0.25">
      <c r="A13" s="9"/>
      <c r="B13" s="10"/>
      <c r="C13" s="10"/>
      <c r="D13" s="11"/>
      <c r="E13" s="34"/>
      <c r="F13" s="36"/>
    </row>
    <row r="14" spans="1:6" ht="24" customHeight="1" x14ac:dyDescent="0.25">
      <c r="A14" s="9"/>
      <c r="B14" s="10"/>
      <c r="C14" s="10"/>
      <c r="D14" s="11"/>
      <c r="E14" s="34"/>
      <c r="F14" s="36"/>
    </row>
    <row r="15" spans="1:6" ht="24" customHeight="1" x14ac:dyDescent="0.25">
      <c r="A15" s="9"/>
      <c r="B15" s="10"/>
      <c r="C15" s="10"/>
      <c r="D15" s="11"/>
      <c r="E15" s="34"/>
      <c r="F15" s="36"/>
    </row>
    <row r="16" spans="1:6" ht="24" customHeight="1" x14ac:dyDescent="0.25">
      <c r="A16" s="9"/>
      <c r="B16" s="10"/>
      <c r="C16" s="10"/>
      <c r="D16" s="11"/>
      <c r="E16" s="34"/>
      <c r="F16" s="36"/>
    </row>
    <row r="17" spans="1:6" ht="24" customHeight="1" x14ac:dyDescent="0.25">
      <c r="A17" s="9"/>
      <c r="B17" s="10"/>
      <c r="C17" s="10"/>
      <c r="D17" s="11"/>
      <c r="E17" s="34"/>
      <c r="F17" s="36"/>
    </row>
    <row r="18" spans="1:6" ht="24" customHeight="1" x14ac:dyDescent="0.25">
      <c r="A18" s="9"/>
      <c r="B18" s="10"/>
      <c r="C18" s="10"/>
      <c r="D18" s="11"/>
      <c r="E18" s="34"/>
      <c r="F18" s="35"/>
    </row>
    <row r="19" spans="1:6" ht="24" customHeight="1" x14ac:dyDescent="0.25">
      <c r="A19" s="2"/>
      <c r="B19" s="3"/>
      <c r="C19" s="3"/>
      <c r="D19" s="4"/>
      <c r="E19" s="2"/>
      <c r="F19" s="1"/>
    </row>
    <row r="20" spans="1:6" ht="24" customHeight="1" x14ac:dyDescent="0.25">
      <c r="A20" s="2"/>
      <c r="B20" s="3"/>
      <c r="C20" s="3"/>
      <c r="D20" s="4"/>
      <c r="E20" s="2"/>
      <c r="F20" s="1"/>
    </row>
    <row r="21" spans="1:6" ht="24" customHeight="1" x14ac:dyDescent="0.25">
      <c r="A21" s="2"/>
      <c r="B21" s="3"/>
      <c r="C21" s="3"/>
      <c r="D21" s="4"/>
      <c r="E21" s="2"/>
      <c r="F21" s="1"/>
    </row>
    <row r="22" spans="1:6" ht="24" customHeight="1" x14ac:dyDescent="0.25">
      <c r="A22" s="2"/>
      <c r="B22" s="3"/>
      <c r="C22" s="3"/>
      <c r="D22" s="4"/>
      <c r="E22" s="2"/>
      <c r="F22" s="1"/>
    </row>
    <row r="23" spans="1:6" ht="24" customHeight="1" x14ac:dyDescent="0.25">
      <c r="A23" s="2"/>
      <c r="B23" s="3"/>
      <c r="C23" s="3"/>
      <c r="D23" s="4"/>
      <c r="E23" s="2"/>
      <c r="F23" s="1"/>
    </row>
    <row r="24" spans="1:6" ht="24" customHeight="1" x14ac:dyDescent="0.25">
      <c r="A24" s="2"/>
      <c r="B24" s="3"/>
      <c r="C24" s="3"/>
      <c r="D24" s="4"/>
      <c r="E24" s="2"/>
      <c r="F24" s="1"/>
    </row>
    <row r="25" spans="1:6" ht="24" customHeight="1" x14ac:dyDescent="0.25">
      <c r="A25" s="2"/>
      <c r="B25" s="3"/>
      <c r="C25" s="3"/>
      <c r="D25" s="4"/>
      <c r="E25" s="2"/>
      <c r="F25" s="1"/>
    </row>
    <row r="26" spans="1:6" ht="24" customHeight="1" x14ac:dyDescent="0.25">
      <c r="A26" s="2"/>
      <c r="B26" s="3"/>
      <c r="C26" s="3"/>
      <c r="D26" s="4"/>
      <c r="E26" s="2"/>
      <c r="F26" s="1"/>
    </row>
    <row r="27" spans="1:6" ht="24" customHeight="1" x14ac:dyDescent="0.25">
      <c r="A27" s="2"/>
      <c r="B27" s="3"/>
      <c r="C27" s="3"/>
      <c r="D27" s="4"/>
      <c r="E27" s="2"/>
      <c r="F27" s="1"/>
    </row>
  </sheetData>
  <mergeCells count="1">
    <mergeCell ref="A1:E1"/>
  </mergeCells>
  <conditionalFormatting sqref="B4:B18">
    <cfRule type="cellIs" dxfId="59" priority="5" operator="equal">
      <formula>"Not Started"</formula>
    </cfRule>
    <cfRule type="cellIs" dxfId="58" priority="6" operator="equal">
      <formula>"In Progress"</formula>
    </cfRule>
    <cfRule type="cellIs" dxfId="57" priority="7" operator="equal">
      <formula>"Completed"</formula>
    </cfRule>
  </conditionalFormatting>
  <conditionalFormatting sqref="C4:C18">
    <cfRule type="cellIs" dxfId="56" priority="1" operator="equal">
      <formula>"Green"</formula>
    </cfRule>
    <cfRule type="cellIs" dxfId="55" priority="2" operator="equal">
      <formula>"Amber"</formula>
    </cfRule>
    <cfRule type="cellIs" dxfId="54" priority="3" operator="equal">
      <formula>"Red"</formula>
    </cfRule>
  </conditionalFormatting>
  <dataValidations count="3">
    <dataValidation type="list" allowBlank="1" sqref="B4:B18" xr:uid="{00000000-0002-0000-0100-000000000000}">
      <formula1>"Not Started,In Progress,Completed"</formula1>
    </dataValidation>
    <dataValidation type="list" allowBlank="1" sqref="E4:E18" xr:uid="{00000000-0002-0000-01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2DDAFB8-BF9B-4F5D-A8ED-9DC855F98BAD}">
      <formula1>"Green,Amber,Red"</formula1>
    </dataValidation>
  </dataValidations>
  <hyperlinks>
    <hyperlink ref="A2" location="'Dashboard'!A1" display="&lt; Return to Dashboard" xr:uid="{8A03291B-F8D4-418A-93F5-59B218A2B237}"/>
  </hyperlink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8"/>
  <sheetViews>
    <sheetView showGridLines="0" workbookViewId="0">
      <pane ySplit="3" topLeftCell="A4" activePane="bottomLeft" state="frozen"/>
      <selection pane="bottomLeft" activeCell="A4" sqref="A4"/>
    </sheetView>
  </sheetViews>
  <sheetFormatPr defaultRowHeight="15" x14ac:dyDescent="0.25"/>
  <cols>
    <col min="1" max="1" width="36" customWidth="1"/>
    <col min="2" max="3" width="14" customWidth="1"/>
    <col min="4" max="4" width="15" style="19" customWidth="1"/>
    <col min="5" max="5" width="38" customWidth="1"/>
    <col min="6" max="6" width="55.7109375" customWidth="1"/>
  </cols>
  <sheetData>
    <row r="1" spans="1:6" ht="32.1" customHeight="1" x14ac:dyDescent="0.25">
      <c r="A1" s="72" t="s">
        <v>59</v>
      </c>
      <c r="B1" s="58"/>
      <c r="C1" s="58"/>
      <c r="D1" s="58"/>
      <c r="E1" s="58"/>
    </row>
    <row r="2" spans="1:6" ht="18" customHeight="1" x14ac:dyDescent="0.25">
      <c r="A2" s="30" t="s">
        <v>41</v>
      </c>
    </row>
    <row r="3" spans="1:6" ht="26.1" customHeight="1" x14ac:dyDescent="0.25">
      <c r="A3" s="7" t="s">
        <v>42</v>
      </c>
      <c r="B3" s="7" t="s">
        <v>43</v>
      </c>
      <c r="C3" s="7" t="s">
        <v>44</v>
      </c>
      <c r="D3" s="20" t="s">
        <v>38</v>
      </c>
      <c r="E3" s="7" t="s">
        <v>45</v>
      </c>
      <c r="F3" s="7" t="s">
        <v>46</v>
      </c>
    </row>
    <row r="4" spans="1:6" ht="42.75" customHeight="1" x14ac:dyDescent="0.25">
      <c r="A4" s="2" t="s">
        <v>60</v>
      </c>
      <c r="B4" s="3" t="s">
        <v>31</v>
      </c>
      <c r="C4" s="3" t="s">
        <v>37</v>
      </c>
      <c r="D4" s="4">
        <v>46315</v>
      </c>
      <c r="E4" s="38" t="s">
        <v>61</v>
      </c>
      <c r="F4" s="36" t="s">
        <v>62</v>
      </c>
    </row>
    <row r="5" spans="1:6" ht="84.75" customHeight="1" x14ac:dyDescent="0.25">
      <c r="A5" s="2" t="s">
        <v>63</v>
      </c>
      <c r="B5" s="3" t="s">
        <v>31</v>
      </c>
      <c r="C5" s="3" t="s">
        <v>37</v>
      </c>
      <c r="D5" s="4">
        <v>46318</v>
      </c>
      <c r="E5" s="34" t="s">
        <v>64</v>
      </c>
      <c r="F5" s="36"/>
    </row>
    <row r="6" spans="1:6" ht="35.25" customHeight="1" x14ac:dyDescent="0.25">
      <c r="A6" s="2" t="s">
        <v>65</v>
      </c>
      <c r="B6" s="3" t="s">
        <v>31</v>
      </c>
      <c r="C6" s="3" t="s">
        <v>37</v>
      </c>
      <c r="D6" s="4">
        <v>46318</v>
      </c>
      <c r="E6" s="38" t="s">
        <v>66</v>
      </c>
      <c r="F6" s="36"/>
    </row>
    <row r="7" spans="1:6" ht="39.75" customHeight="1" x14ac:dyDescent="0.25">
      <c r="A7" s="2" t="s">
        <v>67</v>
      </c>
      <c r="B7" s="3"/>
      <c r="C7" s="3"/>
      <c r="D7" s="4"/>
      <c r="E7" s="38"/>
      <c r="F7" s="36"/>
    </row>
    <row r="8" spans="1:6" ht="37.5" customHeight="1" x14ac:dyDescent="0.25">
      <c r="A8" s="2" t="s">
        <v>68</v>
      </c>
      <c r="B8" s="3"/>
      <c r="C8" s="3"/>
      <c r="D8" s="4"/>
      <c r="E8" s="38"/>
      <c r="F8" s="36"/>
    </row>
    <row r="9" spans="1:6" ht="33" customHeight="1" x14ac:dyDescent="0.25">
      <c r="A9" s="2" t="s">
        <v>69</v>
      </c>
      <c r="B9" s="3"/>
      <c r="C9" s="3"/>
      <c r="D9" s="4"/>
      <c r="E9" s="38"/>
      <c r="F9" s="36"/>
    </row>
    <row r="10" spans="1:6" ht="33" customHeight="1" x14ac:dyDescent="0.25">
      <c r="A10" s="2" t="s">
        <v>70</v>
      </c>
      <c r="B10" s="3"/>
      <c r="C10" s="3"/>
      <c r="D10" s="4"/>
      <c r="E10" s="38"/>
      <c r="F10" s="36"/>
    </row>
    <row r="11" spans="1:6" ht="39" customHeight="1" x14ac:dyDescent="0.25">
      <c r="A11" s="2" t="s">
        <v>71</v>
      </c>
      <c r="B11" s="3"/>
      <c r="C11" s="3"/>
      <c r="D11" s="4"/>
      <c r="E11" s="38"/>
      <c r="F11" s="36"/>
    </row>
    <row r="12" spans="1:6" ht="36.75" customHeight="1" x14ac:dyDescent="0.25">
      <c r="A12" s="2" t="s">
        <v>72</v>
      </c>
      <c r="B12" s="3"/>
      <c r="C12" s="3"/>
      <c r="D12" s="4"/>
      <c r="E12" s="38"/>
      <c r="F12" s="36"/>
    </row>
    <row r="13" spans="1:6" ht="24" customHeight="1" x14ac:dyDescent="0.25">
      <c r="A13" s="2" t="s">
        <v>73</v>
      </c>
      <c r="B13" s="3"/>
      <c r="C13" s="3"/>
      <c r="D13" s="4"/>
      <c r="E13" s="38"/>
      <c r="F13" s="36"/>
    </row>
    <row r="14" spans="1:6" ht="24" customHeight="1" x14ac:dyDescent="0.25">
      <c r="A14" s="2"/>
      <c r="B14" s="3"/>
      <c r="C14" s="3"/>
      <c r="D14" s="4"/>
      <c r="E14" s="38"/>
      <c r="F14" s="36"/>
    </row>
    <row r="15" spans="1:6" ht="24" customHeight="1" x14ac:dyDescent="0.25">
      <c r="A15" s="2"/>
      <c r="B15" s="3"/>
      <c r="C15" s="3"/>
      <c r="D15" s="4"/>
      <c r="E15" s="38"/>
      <c r="F15" s="36"/>
    </row>
    <row r="16" spans="1:6" ht="24" customHeight="1" x14ac:dyDescent="0.25">
      <c r="A16" s="2"/>
      <c r="B16" s="3"/>
      <c r="C16" s="3"/>
      <c r="D16" s="4"/>
      <c r="E16" s="38"/>
      <c r="F16" s="36"/>
    </row>
    <row r="17" spans="1:6" ht="24" customHeight="1" x14ac:dyDescent="0.25">
      <c r="A17" s="2"/>
      <c r="B17" s="3"/>
      <c r="C17" s="3"/>
      <c r="D17" s="4"/>
      <c r="E17" s="38"/>
      <c r="F17" s="36"/>
    </row>
    <row r="18" spans="1:6" ht="24" customHeight="1" x14ac:dyDescent="0.25">
      <c r="A18" s="2"/>
      <c r="B18" s="3"/>
      <c r="C18" s="3"/>
      <c r="D18" s="4"/>
      <c r="E18" s="38"/>
      <c r="F18" s="36"/>
    </row>
  </sheetData>
  <mergeCells count="1">
    <mergeCell ref="A1:E1"/>
  </mergeCells>
  <conditionalFormatting sqref="B4:B18">
    <cfRule type="cellIs" dxfId="53" priority="5" operator="equal">
      <formula>"Not Started"</formula>
    </cfRule>
    <cfRule type="cellIs" dxfId="52" priority="6" operator="equal">
      <formula>"In Progress"</formula>
    </cfRule>
    <cfRule type="cellIs" dxfId="51" priority="7" operator="equal">
      <formula>"Completed"</formula>
    </cfRule>
  </conditionalFormatting>
  <conditionalFormatting sqref="C4:C18">
    <cfRule type="cellIs" dxfId="50" priority="1" operator="equal">
      <formula>"Green"</formula>
    </cfRule>
    <cfRule type="cellIs" dxfId="49" priority="2" operator="equal">
      <formula>"Amber"</formula>
    </cfRule>
    <cfRule type="cellIs" dxfId="48" priority="3" operator="equal">
      <formula>"Red"</formula>
    </cfRule>
  </conditionalFormatting>
  <dataValidations count="3">
    <dataValidation type="list" allowBlank="1" sqref="B4:B18" xr:uid="{00000000-0002-0000-0200-000000000000}">
      <formula1>"Not Started,In Progress,Completed"</formula1>
    </dataValidation>
    <dataValidation type="list" allowBlank="1" sqref="E4:E18" xr:uid="{00000000-0002-0000-02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E06F1AA-5F0C-45A1-A46C-CC888BD2EA15}">
      <formula1>"Green,Amber,Red"</formula1>
    </dataValidation>
  </dataValidations>
  <hyperlinks>
    <hyperlink ref="A2" location="'Dashboard'!A1" display="&lt; Return to Dashboard" xr:uid="{A1561012-92F3-4FD4-A7F0-0E0081A70D27}"/>
  </hyperlink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showGridLines="0" workbookViewId="0">
      <pane ySplit="3" topLeftCell="A4" activePane="bottomLeft" state="frozen"/>
      <selection pane="bottomLeft" activeCell="E6" sqref="E6"/>
    </sheetView>
  </sheetViews>
  <sheetFormatPr defaultRowHeight="15" x14ac:dyDescent="0.25"/>
  <cols>
    <col min="1" max="1" width="36" customWidth="1"/>
    <col min="2" max="3" width="14" customWidth="1"/>
    <col min="4" max="4" width="21.140625" style="19" customWidth="1"/>
    <col min="5" max="5" width="38" customWidth="1"/>
    <col min="6" max="6" width="55.7109375" customWidth="1"/>
  </cols>
  <sheetData>
    <row r="1" spans="1:6" ht="32.1" customHeight="1" x14ac:dyDescent="0.25">
      <c r="A1" s="72" t="s">
        <v>74</v>
      </c>
      <c r="B1" s="58"/>
      <c r="C1" s="58"/>
      <c r="D1" s="58"/>
      <c r="E1" s="58"/>
    </row>
    <row r="2" spans="1:6" ht="18" customHeight="1" x14ac:dyDescent="0.25">
      <c r="A2" s="31" t="s">
        <v>41</v>
      </c>
    </row>
    <row r="3" spans="1:6" ht="26.1" customHeight="1" x14ac:dyDescent="0.25">
      <c r="A3" s="7" t="s">
        <v>42</v>
      </c>
      <c r="B3" s="7" t="s">
        <v>43</v>
      </c>
      <c r="C3" s="7" t="s">
        <v>44</v>
      </c>
      <c r="D3" s="20" t="s">
        <v>38</v>
      </c>
      <c r="E3" s="7" t="s">
        <v>45</v>
      </c>
      <c r="F3" s="37" t="s">
        <v>46</v>
      </c>
    </row>
    <row r="4" spans="1:6" ht="76.5" customHeight="1" x14ac:dyDescent="0.25">
      <c r="A4" s="9" t="s">
        <v>75</v>
      </c>
      <c r="B4" s="10" t="s">
        <v>31</v>
      </c>
      <c r="C4" s="10" t="s">
        <v>37</v>
      </c>
      <c r="D4" s="11">
        <v>46314</v>
      </c>
      <c r="E4" s="34" t="s">
        <v>76</v>
      </c>
      <c r="F4" s="36" t="s">
        <v>77</v>
      </c>
    </row>
    <row r="5" spans="1:6" ht="50.25" customHeight="1" x14ac:dyDescent="0.25">
      <c r="A5" s="9" t="s">
        <v>78</v>
      </c>
      <c r="B5" s="10" t="s">
        <v>31</v>
      </c>
      <c r="C5" s="10" t="s">
        <v>37</v>
      </c>
      <c r="D5" s="11">
        <v>46316</v>
      </c>
      <c r="E5" s="34" t="s">
        <v>79</v>
      </c>
      <c r="F5" s="36"/>
    </row>
    <row r="6" spans="1:6" ht="36.75" customHeight="1" x14ac:dyDescent="0.3">
      <c r="A6" s="5" t="s">
        <v>80</v>
      </c>
      <c r="B6" s="10" t="s">
        <v>31</v>
      </c>
      <c r="C6" s="10" t="s">
        <v>37</v>
      </c>
      <c r="D6" s="11">
        <v>46316</v>
      </c>
      <c r="E6" s="34" t="s">
        <v>79</v>
      </c>
      <c r="F6" s="36"/>
    </row>
    <row r="7" spans="1:6" ht="37.5" customHeight="1" x14ac:dyDescent="0.25">
      <c r="A7" s="9" t="s">
        <v>81</v>
      </c>
      <c r="B7" s="10"/>
      <c r="C7" s="10"/>
      <c r="D7" s="11"/>
      <c r="E7" s="34"/>
      <c r="F7" s="36"/>
    </row>
    <row r="8" spans="1:6" ht="30" customHeight="1" x14ac:dyDescent="0.25">
      <c r="A8" s="9" t="s">
        <v>82</v>
      </c>
      <c r="B8" s="10"/>
      <c r="C8" s="10"/>
      <c r="D8" s="11"/>
      <c r="E8" s="34"/>
      <c r="F8" s="36"/>
    </row>
    <row r="9" spans="1:6" ht="37.5" customHeight="1" x14ac:dyDescent="0.25">
      <c r="A9" s="9" t="s">
        <v>83</v>
      </c>
      <c r="B9" s="10"/>
      <c r="C9" s="10"/>
      <c r="D9" s="11"/>
      <c r="E9" s="34"/>
      <c r="F9" s="36"/>
    </row>
    <row r="10" spans="1:6" ht="52.5" customHeight="1" x14ac:dyDescent="0.25">
      <c r="A10" s="9" t="s">
        <v>84</v>
      </c>
      <c r="B10" s="10"/>
      <c r="C10" s="10"/>
      <c r="D10" s="11"/>
      <c r="E10" s="34"/>
      <c r="F10" s="36"/>
    </row>
    <row r="11" spans="1:6" ht="35.25" customHeight="1" x14ac:dyDescent="0.25">
      <c r="A11" s="9" t="s">
        <v>85</v>
      </c>
      <c r="B11" s="10"/>
      <c r="C11" s="10"/>
      <c r="D11" s="11"/>
      <c r="E11" s="34"/>
      <c r="F11" s="36"/>
    </row>
    <row r="12" spans="1:6" ht="38.25" customHeight="1" x14ac:dyDescent="0.25">
      <c r="A12" s="9" t="s">
        <v>86</v>
      </c>
      <c r="B12" s="10"/>
      <c r="C12" s="10"/>
      <c r="D12" s="11"/>
      <c r="E12" s="34"/>
      <c r="F12" s="36"/>
    </row>
    <row r="13" spans="1:6" ht="30.75" customHeight="1" x14ac:dyDescent="0.25">
      <c r="A13" s="9" t="s">
        <v>87</v>
      </c>
      <c r="B13" s="10"/>
      <c r="C13" s="10"/>
      <c r="D13" s="11"/>
      <c r="E13" s="34"/>
      <c r="F13" s="36"/>
    </row>
    <row r="14" spans="1:6" ht="33.75" customHeight="1" x14ac:dyDescent="0.25">
      <c r="A14" s="9" t="s">
        <v>88</v>
      </c>
      <c r="B14" s="10"/>
      <c r="C14" s="10"/>
      <c r="D14" s="11"/>
      <c r="E14" s="34"/>
      <c r="F14" s="36"/>
    </row>
    <row r="15" spans="1:6" ht="24" customHeight="1" x14ac:dyDescent="0.25">
      <c r="A15" s="9"/>
      <c r="B15" s="10"/>
      <c r="C15" s="10"/>
      <c r="D15" s="11"/>
      <c r="E15" s="34"/>
      <c r="F15" s="36"/>
    </row>
    <row r="16" spans="1:6" ht="24" customHeight="1" x14ac:dyDescent="0.25">
      <c r="A16" s="9"/>
      <c r="B16" s="10"/>
      <c r="C16" s="10"/>
      <c r="D16" s="11"/>
      <c r="E16" s="34"/>
      <c r="F16" s="36"/>
    </row>
    <row r="17" spans="1:6" ht="24" customHeight="1" x14ac:dyDescent="0.25">
      <c r="A17" s="9"/>
      <c r="B17" s="10"/>
      <c r="C17" s="10"/>
      <c r="D17" s="11"/>
      <c r="E17" s="34"/>
      <c r="F17" s="36"/>
    </row>
    <row r="18" spans="1:6" ht="24" customHeight="1" x14ac:dyDescent="0.25">
      <c r="A18" s="9"/>
      <c r="B18" s="10"/>
      <c r="C18" s="10"/>
      <c r="D18" s="11"/>
      <c r="E18" s="34"/>
      <c r="F18" s="35"/>
    </row>
  </sheetData>
  <mergeCells count="1">
    <mergeCell ref="A1:E1"/>
  </mergeCells>
  <conditionalFormatting sqref="B4:B18">
    <cfRule type="cellIs" dxfId="47" priority="5" operator="equal">
      <formula>"Not Started"</formula>
    </cfRule>
    <cfRule type="cellIs" dxfId="46" priority="6" operator="equal">
      <formula>"In Progress"</formula>
    </cfRule>
    <cfRule type="cellIs" dxfId="45" priority="7" operator="equal">
      <formula>"Completed"</formula>
    </cfRule>
  </conditionalFormatting>
  <conditionalFormatting sqref="C4:C18">
    <cfRule type="cellIs" dxfId="44" priority="1" operator="equal">
      <formula>"Green"</formula>
    </cfRule>
    <cfRule type="cellIs" dxfId="43" priority="2" operator="equal">
      <formula>"Amber"</formula>
    </cfRule>
    <cfRule type="cellIs" dxfId="42" priority="3" operator="equal">
      <formula>"Red"</formula>
    </cfRule>
  </conditionalFormatting>
  <dataValidations count="3">
    <dataValidation type="list" allowBlank="1" sqref="B4:B18" xr:uid="{00000000-0002-0000-0300-000000000000}">
      <formula1>"Not Started,In Progress,Completed"</formula1>
    </dataValidation>
    <dataValidation type="list" allowBlank="1" sqref="E4:E18" xr:uid="{00000000-0002-0000-03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D4180FD0-0835-4EF4-822A-BC58AA955CD9}">
      <formula1>"Green,Amber,Red"</formula1>
    </dataValidation>
  </dataValidations>
  <hyperlinks>
    <hyperlink ref="A2" location="'Dashboard'!A1" display="&lt; Return to Dashboard" xr:uid="{819B6490-FF39-422C-83F2-9F2DE21C0B40}"/>
  </hyperlink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
  <sheetViews>
    <sheetView showGridLines="0" workbookViewId="0">
      <pane ySplit="3" topLeftCell="A4" activePane="bottomLeft" state="frozen"/>
      <selection pane="bottomLeft" activeCell="F4" sqref="F4"/>
    </sheetView>
  </sheetViews>
  <sheetFormatPr defaultRowHeight="15" x14ac:dyDescent="0.25"/>
  <cols>
    <col min="1" max="1" width="36" customWidth="1"/>
    <col min="2" max="2" width="18.5703125" customWidth="1"/>
    <col min="3" max="3" width="16" customWidth="1"/>
    <col min="4" max="4" width="20" style="19" customWidth="1"/>
    <col min="5" max="5" width="38" customWidth="1"/>
    <col min="6" max="6" width="73.140625" customWidth="1"/>
  </cols>
  <sheetData>
    <row r="1" spans="1:6" ht="32.1" customHeight="1" x14ac:dyDescent="0.25">
      <c r="A1" s="72" t="s">
        <v>89</v>
      </c>
      <c r="B1" s="58"/>
      <c r="C1" s="58"/>
      <c r="D1" s="58"/>
      <c r="E1" s="58"/>
    </row>
    <row r="2" spans="1:6" ht="18" customHeight="1" x14ac:dyDescent="0.25">
      <c r="A2" s="31" t="s">
        <v>41</v>
      </c>
    </row>
    <row r="3" spans="1:6" ht="26.1" customHeight="1" x14ac:dyDescent="0.25">
      <c r="A3" s="8" t="s">
        <v>42</v>
      </c>
      <c r="B3" s="8" t="s">
        <v>43</v>
      </c>
      <c r="C3" s="8" t="s">
        <v>44</v>
      </c>
      <c r="D3" s="18" t="s">
        <v>38</v>
      </c>
      <c r="E3" s="8" t="s">
        <v>45</v>
      </c>
      <c r="F3" s="33" t="s">
        <v>46</v>
      </c>
    </row>
    <row r="4" spans="1:6" ht="130.5" customHeight="1" x14ac:dyDescent="0.25">
      <c r="A4" s="9" t="s">
        <v>90</v>
      </c>
      <c r="B4" s="10" t="s">
        <v>30</v>
      </c>
      <c r="C4" s="10" t="s">
        <v>37</v>
      </c>
      <c r="D4" s="11">
        <v>46316</v>
      </c>
      <c r="E4" s="34" t="s">
        <v>91</v>
      </c>
      <c r="F4" s="36" t="s">
        <v>92</v>
      </c>
    </row>
    <row r="5" spans="1:6" ht="24" customHeight="1" x14ac:dyDescent="0.25">
      <c r="A5" s="9"/>
      <c r="B5" s="10"/>
      <c r="C5" s="10"/>
      <c r="D5" s="11"/>
      <c r="E5" s="34"/>
      <c r="F5" s="36"/>
    </row>
    <row r="6" spans="1:6" ht="24" customHeight="1" x14ac:dyDescent="0.25">
      <c r="A6" s="9"/>
      <c r="B6" s="10"/>
      <c r="C6" s="10"/>
      <c r="D6" s="11"/>
      <c r="E6" s="34"/>
      <c r="F6" s="36"/>
    </row>
    <row r="7" spans="1:6" ht="24" customHeight="1" x14ac:dyDescent="0.25">
      <c r="A7" s="9"/>
      <c r="B7" s="10"/>
      <c r="C7" s="10"/>
      <c r="D7" s="11"/>
      <c r="E7" s="34"/>
      <c r="F7" s="36"/>
    </row>
    <row r="8" spans="1:6" ht="24" customHeight="1" x14ac:dyDescent="0.25">
      <c r="A8" s="9"/>
      <c r="B8" s="10"/>
      <c r="C8" s="10"/>
      <c r="D8" s="11"/>
      <c r="E8" s="34"/>
      <c r="F8" s="36"/>
    </row>
    <row r="9" spans="1:6" ht="24" customHeight="1" x14ac:dyDescent="0.25">
      <c r="A9" s="9"/>
      <c r="B9" s="10"/>
      <c r="C9" s="10"/>
      <c r="D9" s="11"/>
      <c r="E9" s="34"/>
      <c r="F9" s="36"/>
    </row>
    <row r="10" spans="1:6" ht="24" customHeight="1" x14ac:dyDescent="0.25">
      <c r="A10" s="9"/>
      <c r="B10" s="10"/>
      <c r="C10" s="10"/>
      <c r="D10" s="11"/>
      <c r="E10" s="34"/>
      <c r="F10" s="36"/>
    </row>
    <row r="11" spans="1:6" ht="24" customHeight="1" x14ac:dyDescent="0.25">
      <c r="A11" s="9"/>
      <c r="B11" s="10"/>
      <c r="C11" s="10"/>
      <c r="D11" s="11"/>
      <c r="E11" s="34"/>
      <c r="F11" s="36"/>
    </row>
    <row r="12" spans="1:6" ht="24" customHeight="1" x14ac:dyDescent="0.25">
      <c r="A12" s="9"/>
      <c r="B12" s="10"/>
      <c r="C12" s="10"/>
      <c r="D12" s="11"/>
      <c r="E12" s="34"/>
      <c r="F12" s="36"/>
    </row>
    <row r="13" spans="1:6" ht="24" customHeight="1" x14ac:dyDescent="0.25">
      <c r="A13" s="9"/>
      <c r="B13" s="10"/>
      <c r="C13" s="10"/>
      <c r="D13" s="11"/>
      <c r="E13" s="34"/>
      <c r="F13" s="36"/>
    </row>
    <row r="14" spans="1:6" ht="24" customHeight="1" x14ac:dyDescent="0.25">
      <c r="A14" s="9"/>
      <c r="B14" s="10"/>
      <c r="C14" s="10"/>
      <c r="D14" s="11"/>
      <c r="E14" s="34"/>
      <c r="F14" s="36"/>
    </row>
    <row r="15" spans="1:6" ht="24" customHeight="1" x14ac:dyDescent="0.25">
      <c r="A15" s="9"/>
      <c r="B15" s="10"/>
      <c r="C15" s="10"/>
      <c r="D15" s="11"/>
      <c r="E15" s="34"/>
      <c r="F15" s="36"/>
    </row>
    <row r="16" spans="1:6" ht="24" customHeight="1" x14ac:dyDescent="0.25">
      <c r="A16" s="9"/>
      <c r="B16" s="10"/>
      <c r="C16" s="10"/>
      <c r="D16" s="11"/>
      <c r="E16" s="34"/>
      <c r="F16" s="36"/>
    </row>
    <row r="17" spans="1:6" ht="24" customHeight="1" x14ac:dyDescent="0.25">
      <c r="A17" s="9"/>
      <c r="B17" s="10"/>
      <c r="C17" s="10"/>
      <c r="D17" s="11"/>
      <c r="E17" s="34"/>
      <c r="F17" s="36"/>
    </row>
    <row r="18" spans="1:6" ht="24" customHeight="1" x14ac:dyDescent="0.25">
      <c r="A18" s="9"/>
      <c r="B18" s="10"/>
      <c r="C18" s="10"/>
      <c r="D18" s="11"/>
      <c r="E18" s="34"/>
      <c r="F18" s="35"/>
    </row>
  </sheetData>
  <mergeCells count="1">
    <mergeCell ref="A1:E1"/>
  </mergeCells>
  <conditionalFormatting sqref="B4:B18">
    <cfRule type="cellIs" dxfId="41" priority="5" operator="equal">
      <formula>"Not Started"</formula>
    </cfRule>
    <cfRule type="cellIs" dxfId="40" priority="6" operator="equal">
      <formula>"In Progress"</formula>
    </cfRule>
    <cfRule type="cellIs" dxfId="39" priority="7" operator="equal">
      <formula>"Completed"</formula>
    </cfRule>
  </conditionalFormatting>
  <conditionalFormatting sqref="C4:C18">
    <cfRule type="cellIs" dxfId="38" priority="1" operator="equal">
      <formula>"Green"</formula>
    </cfRule>
    <cfRule type="cellIs" dxfId="37" priority="2" operator="equal">
      <formula>"Amber"</formula>
    </cfRule>
    <cfRule type="cellIs" dxfId="36" priority="3" operator="equal">
      <formula>"Red"</formula>
    </cfRule>
  </conditionalFormatting>
  <dataValidations count="3">
    <dataValidation type="list" allowBlank="1" sqref="B4:B18" xr:uid="{00000000-0002-0000-0400-000000000000}">
      <formula1>"Not Started,In Progress,Completed"</formula1>
    </dataValidation>
    <dataValidation type="list" allowBlank="1" sqref="E4:E18" xr:uid="{00000000-0002-0000-04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F94959DB-CE01-4A63-8621-6147A58A4425}">
      <formula1>"Green,Amber,Red"</formula1>
    </dataValidation>
  </dataValidations>
  <hyperlinks>
    <hyperlink ref="A2" location="'Dashboard'!A1" display="&lt; Return to Dashboard" xr:uid="{9AF9D96A-6B58-4489-A94A-6B01ED730B91}"/>
  </hyperlink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
  <sheetViews>
    <sheetView showGridLines="0" zoomScale="85" zoomScaleNormal="85" workbookViewId="0">
      <pane ySplit="3" topLeftCell="A5" activePane="bottomLeft" state="frozen"/>
      <selection pane="bottomLeft" activeCell="A2" sqref="A2"/>
    </sheetView>
  </sheetViews>
  <sheetFormatPr defaultRowHeight="15" x14ac:dyDescent="0.25"/>
  <cols>
    <col min="1" max="1" width="36" customWidth="1"/>
    <col min="2" max="2" width="21.5703125" customWidth="1"/>
    <col min="3" max="3" width="17.42578125" customWidth="1"/>
    <col min="4" max="4" width="21" style="19" customWidth="1"/>
    <col min="5" max="5" width="38" customWidth="1"/>
    <col min="6" max="6" width="55.7109375" customWidth="1"/>
  </cols>
  <sheetData>
    <row r="1" spans="1:6" ht="32.1" customHeight="1" x14ac:dyDescent="0.25">
      <c r="A1" s="73" t="s">
        <v>93</v>
      </c>
      <c r="B1" s="58"/>
      <c r="C1" s="58"/>
      <c r="D1" s="58"/>
      <c r="E1" s="58"/>
    </row>
    <row r="2" spans="1:6" ht="18" customHeight="1" x14ac:dyDescent="0.25">
      <c r="A2" s="31" t="s">
        <v>41</v>
      </c>
    </row>
    <row r="3" spans="1:6" ht="26.1" customHeight="1" x14ac:dyDescent="0.25">
      <c r="A3" s="7" t="s">
        <v>42</v>
      </c>
      <c r="B3" s="7" t="s">
        <v>43</v>
      </c>
      <c r="C3" s="7" t="s">
        <v>44</v>
      </c>
      <c r="D3" s="20" t="s">
        <v>38</v>
      </c>
      <c r="E3" s="7" t="s">
        <v>45</v>
      </c>
      <c r="F3" s="37" t="s">
        <v>46</v>
      </c>
    </row>
    <row r="4" spans="1:6" ht="85.5" customHeight="1" x14ac:dyDescent="0.25">
      <c r="A4" s="32" t="s">
        <v>94</v>
      </c>
      <c r="B4" s="10" t="s">
        <v>31</v>
      </c>
      <c r="C4" s="10" t="s">
        <v>32</v>
      </c>
      <c r="D4" s="11">
        <v>46315</v>
      </c>
      <c r="E4" s="34" t="s">
        <v>95</v>
      </c>
      <c r="F4" s="36"/>
    </row>
    <row r="5" spans="1:6" ht="74.25" customHeight="1" x14ac:dyDescent="0.25">
      <c r="A5" s="9" t="s">
        <v>96</v>
      </c>
      <c r="B5" s="10" t="s">
        <v>31</v>
      </c>
      <c r="C5" s="10" t="s">
        <v>37</v>
      </c>
      <c r="D5" s="11">
        <v>46317</v>
      </c>
      <c r="E5" s="34"/>
      <c r="F5" s="36" t="s">
        <v>97</v>
      </c>
    </row>
    <row r="6" spans="1:6" ht="119.25" customHeight="1" x14ac:dyDescent="0.25">
      <c r="A6" s="9" t="s">
        <v>98</v>
      </c>
      <c r="B6" s="10" t="s">
        <v>31</v>
      </c>
      <c r="C6" s="10" t="s">
        <v>33</v>
      </c>
      <c r="D6" s="11">
        <v>46311</v>
      </c>
      <c r="E6" s="34" t="s">
        <v>99</v>
      </c>
      <c r="F6" s="36"/>
    </row>
    <row r="7" spans="1:6" ht="42.75" customHeight="1" x14ac:dyDescent="0.25">
      <c r="A7" s="9" t="s">
        <v>100</v>
      </c>
      <c r="B7" s="10" t="s">
        <v>31</v>
      </c>
      <c r="C7" s="10" t="s">
        <v>32</v>
      </c>
      <c r="D7" s="11">
        <v>46315</v>
      </c>
      <c r="E7" s="34"/>
      <c r="F7" s="36"/>
    </row>
    <row r="8" spans="1:6" ht="76.5" customHeight="1" x14ac:dyDescent="0.25">
      <c r="A8" s="9" t="s">
        <v>101</v>
      </c>
      <c r="B8" s="10" t="s">
        <v>31</v>
      </c>
      <c r="C8" s="10" t="s">
        <v>32</v>
      </c>
      <c r="D8" s="11">
        <v>46315</v>
      </c>
      <c r="E8" s="34"/>
      <c r="F8" s="36"/>
    </row>
    <row r="9" spans="1:6" ht="54.75" customHeight="1" x14ac:dyDescent="0.25">
      <c r="A9" s="21" t="s">
        <v>102</v>
      </c>
      <c r="B9" s="10"/>
      <c r="C9" s="10"/>
      <c r="D9" s="11"/>
      <c r="E9" s="34"/>
      <c r="F9" s="36"/>
    </row>
    <row r="10" spans="1:6" ht="62.25" customHeight="1" x14ac:dyDescent="0.25">
      <c r="A10" s="9" t="s">
        <v>103</v>
      </c>
      <c r="B10" s="10"/>
      <c r="C10" s="10"/>
      <c r="D10" s="11"/>
      <c r="E10" s="34"/>
      <c r="F10" s="36"/>
    </row>
    <row r="11" spans="1:6" ht="36" customHeight="1" x14ac:dyDescent="0.25">
      <c r="A11" s="32" t="s">
        <v>104</v>
      </c>
      <c r="B11" s="10"/>
      <c r="C11" s="10"/>
      <c r="D11" s="11"/>
      <c r="E11" s="34"/>
      <c r="F11" s="36"/>
    </row>
    <row r="12" spans="1:6" ht="39.75" customHeight="1" x14ac:dyDescent="0.25">
      <c r="A12" s="9" t="s">
        <v>105</v>
      </c>
      <c r="B12" s="10"/>
      <c r="C12" s="10"/>
      <c r="D12" s="11"/>
      <c r="E12" s="34"/>
      <c r="F12" s="36"/>
    </row>
    <row r="13" spans="1:6" ht="42" customHeight="1" x14ac:dyDescent="0.25">
      <c r="A13" s="9"/>
      <c r="B13" s="10"/>
      <c r="C13" s="10"/>
      <c r="D13" s="11"/>
      <c r="E13" s="34"/>
      <c r="F13" s="36"/>
    </row>
    <row r="14" spans="1:6" ht="49.5" customHeight="1" x14ac:dyDescent="0.25">
      <c r="A14" s="9"/>
      <c r="B14" s="10"/>
      <c r="C14" s="10"/>
      <c r="D14" s="11"/>
      <c r="E14" s="34"/>
      <c r="F14" s="36"/>
    </row>
    <row r="15" spans="1:6" ht="24" customHeight="1" x14ac:dyDescent="0.25">
      <c r="A15" s="9"/>
      <c r="B15" s="10"/>
      <c r="C15" s="10"/>
      <c r="D15" s="11"/>
      <c r="E15" s="34"/>
      <c r="F15" s="36"/>
    </row>
    <row r="16" spans="1:6" ht="24" customHeight="1" x14ac:dyDescent="0.25">
      <c r="A16" s="9"/>
      <c r="B16" s="10"/>
      <c r="C16" s="10"/>
      <c r="D16" s="11"/>
      <c r="E16" s="34"/>
      <c r="F16" s="36"/>
    </row>
    <row r="17" spans="1:6" ht="24" customHeight="1" x14ac:dyDescent="0.25">
      <c r="A17" s="9"/>
      <c r="B17" s="10"/>
      <c r="C17" s="10"/>
      <c r="D17" s="11"/>
      <c r="E17" s="34"/>
      <c r="F17" s="36"/>
    </row>
    <row r="18" spans="1:6" ht="24" customHeight="1" x14ac:dyDescent="0.25">
      <c r="A18" s="9"/>
      <c r="B18" s="10"/>
      <c r="C18" s="10"/>
      <c r="D18" s="11"/>
      <c r="E18" s="34"/>
      <c r="F18" s="35"/>
    </row>
  </sheetData>
  <mergeCells count="1">
    <mergeCell ref="A1:E1"/>
  </mergeCells>
  <conditionalFormatting sqref="B4:B18">
    <cfRule type="cellIs" dxfId="35" priority="5" operator="equal">
      <formula>"Not Started"</formula>
    </cfRule>
    <cfRule type="cellIs" dxfId="34" priority="6" operator="equal">
      <formula>"In Progress"</formula>
    </cfRule>
    <cfRule type="cellIs" dxfId="33" priority="7" operator="equal">
      <formula>"Completed"</formula>
    </cfRule>
  </conditionalFormatting>
  <conditionalFormatting sqref="C4:C18">
    <cfRule type="cellIs" dxfId="32" priority="1" operator="equal">
      <formula>"Green"</formula>
    </cfRule>
    <cfRule type="cellIs" dxfId="31" priority="2" operator="equal">
      <formula>"Amber"</formula>
    </cfRule>
    <cfRule type="cellIs" dxfId="30" priority="3" operator="equal">
      <formula>"Red"</formula>
    </cfRule>
  </conditionalFormatting>
  <dataValidations count="3">
    <dataValidation type="list" allowBlank="1" sqref="B4:B18" xr:uid="{00000000-0002-0000-0500-000000000000}">
      <formula1>"Not Started,In Progress,Completed"</formula1>
    </dataValidation>
    <dataValidation type="list" allowBlank="1" sqref="E4:E18" xr:uid="{00000000-0002-0000-05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F71802A-2A8D-4C80-BB0D-395F97010563}">
      <formula1>"Green,Amber,Red"</formula1>
    </dataValidation>
  </dataValidations>
  <hyperlinks>
    <hyperlink ref="A2" location="'Dashboard'!A1" display="&lt; Return to Dashboard" xr:uid="{256F0676-1111-48D2-8BF2-9E5E1DB5F676}"/>
  </hyperlinks>
  <pageMargins left="0.75" right="0.75" top="1" bottom="1" header="0.5" footer="0.5"/>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8"/>
  <sheetViews>
    <sheetView showGridLines="0" zoomScale="115" zoomScaleNormal="115" workbookViewId="0">
      <pane ySplit="3" topLeftCell="A5" activePane="bottomLeft" state="frozen"/>
      <selection pane="bottomLeft" activeCell="A2" sqref="A2"/>
    </sheetView>
  </sheetViews>
  <sheetFormatPr defaultRowHeight="15" x14ac:dyDescent="0.25"/>
  <cols>
    <col min="1" max="1" width="36" customWidth="1"/>
    <col min="2" max="3" width="14" customWidth="1"/>
    <col min="4" max="4" width="21.28515625" style="19" customWidth="1"/>
    <col min="5" max="5" width="38" customWidth="1"/>
    <col min="6" max="6" width="55.7109375" customWidth="1"/>
  </cols>
  <sheetData>
    <row r="1" spans="1:6" ht="32.1" customHeight="1" x14ac:dyDescent="0.25">
      <c r="A1" s="72" t="s">
        <v>106</v>
      </c>
      <c r="B1" s="58"/>
      <c r="C1" s="58"/>
      <c r="D1" s="58"/>
      <c r="E1" s="58"/>
    </row>
    <row r="2" spans="1:6" ht="18" customHeight="1" x14ac:dyDescent="0.25">
      <c r="A2" s="31" t="s">
        <v>41</v>
      </c>
    </row>
    <row r="3" spans="1:6" ht="26.1" customHeight="1" x14ac:dyDescent="0.25">
      <c r="A3" s="8" t="s">
        <v>42</v>
      </c>
      <c r="B3" s="8" t="s">
        <v>43</v>
      </c>
      <c r="C3" s="8" t="s">
        <v>44</v>
      </c>
      <c r="D3" s="18" t="s">
        <v>38</v>
      </c>
      <c r="E3" s="8" t="s">
        <v>45</v>
      </c>
      <c r="F3" s="18" t="s">
        <v>46</v>
      </c>
    </row>
    <row r="4" spans="1:6" ht="49.5" customHeight="1" x14ac:dyDescent="0.25">
      <c r="A4" s="9" t="s">
        <v>107</v>
      </c>
      <c r="B4" s="10"/>
      <c r="C4" s="10"/>
      <c r="D4" s="11"/>
      <c r="E4" s="34"/>
      <c r="F4" s="36"/>
    </row>
    <row r="5" spans="1:6" ht="104.25" customHeight="1" x14ac:dyDescent="0.25">
      <c r="A5" s="9" t="s">
        <v>108</v>
      </c>
      <c r="B5" s="10" t="s">
        <v>30</v>
      </c>
      <c r="C5" s="10" t="s">
        <v>32</v>
      </c>
      <c r="D5" s="22">
        <v>46318</v>
      </c>
      <c r="E5" s="34" t="s">
        <v>109</v>
      </c>
      <c r="F5" s="36"/>
    </row>
    <row r="6" spans="1:6" ht="41.25" customHeight="1" x14ac:dyDescent="0.25">
      <c r="A6" s="9" t="s">
        <v>110</v>
      </c>
      <c r="B6" s="10"/>
      <c r="C6" s="10"/>
      <c r="D6" s="11"/>
      <c r="E6" s="34"/>
      <c r="F6" s="36"/>
    </row>
    <row r="7" spans="1:6" ht="71.25" customHeight="1" x14ac:dyDescent="0.25">
      <c r="A7" s="9" t="s">
        <v>111</v>
      </c>
      <c r="B7" s="10"/>
      <c r="C7" s="10"/>
      <c r="D7" s="11"/>
      <c r="E7" s="34"/>
      <c r="F7" s="36"/>
    </row>
    <row r="8" spans="1:6" ht="105.75" customHeight="1" x14ac:dyDescent="0.25">
      <c r="A8" s="9" t="s">
        <v>112</v>
      </c>
      <c r="B8" s="10"/>
      <c r="C8" s="10"/>
      <c r="D8" s="11"/>
      <c r="E8" s="34"/>
      <c r="F8" s="36"/>
    </row>
    <row r="9" spans="1:6" ht="48.75" customHeight="1" x14ac:dyDescent="0.25">
      <c r="A9" s="9" t="s">
        <v>113</v>
      </c>
      <c r="B9" s="10"/>
      <c r="C9" s="10"/>
      <c r="D9" s="11"/>
      <c r="E9" s="34"/>
      <c r="F9" s="36"/>
    </row>
    <row r="10" spans="1:6" ht="24" customHeight="1" x14ac:dyDescent="0.25">
      <c r="A10" s="9"/>
      <c r="B10" s="10"/>
      <c r="C10" s="10"/>
      <c r="D10" s="11"/>
      <c r="E10" s="34"/>
      <c r="F10" s="36"/>
    </row>
    <row r="11" spans="1:6" ht="24" customHeight="1" x14ac:dyDescent="0.25">
      <c r="A11" s="9"/>
      <c r="B11" s="10"/>
      <c r="C11" s="10"/>
      <c r="D11" s="11"/>
      <c r="E11" s="34"/>
      <c r="F11" s="36"/>
    </row>
    <row r="12" spans="1:6" ht="24" customHeight="1" x14ac:dyDescent="0.25">
      <c r="A12" s="9"/>
      <c r="B12" s="10"/>
      <c r="C12" s="10"/>
      <c r="D12" s="11"/>
      <c r="E12" s="34"/>
      <c r="F12" s="36"/>
    </row>
    <row r="13" spans="1:6" ht="24" customHeight="1" x14ac:dyDescent="0.25">
      <c r="A13" s="9"/>
      <c r="B13" s="10"/>
      <c r="C13" s="10"/>
      <c r="D13" s="11"/>
      <c r="E13" s="34"/>
      <c r="F13" s="36"/>
    </row>
    <row r="14" spans="1:6" ht="24" customHeight="1" x14ac:dyDescent="0.25">
      <c r="A14" s="9"/>
      <c r="B14" s="10"/>
      <c r="C14" s="10"/>
      <c r="D14" s="11"/>
      <c r="E14" s="34"/>
      <c r="F14" s="36"/>
    </row>
    <row r="15" spans="1:6" ht="24" customHeight="1" x14ac:dyDescent="0.25">
      <c r="A15" s="9"/>
      <c r="B15" s="10"/>
      <c r="C15" s="10"/>
      <c r="D15" s="11"/>
      <c r="E15" s="34"/>
      <c r="F15" s="36"/>
    </row>
    <row r="16" spans="1:6" ht="24" customHeight="1" x14ac:dyDescent="0.25">
      <c r="A16" s="9"/>
      <c r="B16" s="10"/>
      <c r="C16" s="10"/>
      <c r="D16" s="11"/>
      <c r="E16" s="34"/>
      <c r="F16" s="36"/>
    </row>
    <row r="17" spans="1:6" ht="24" customHeight="1" x14ac:dyDescent="0.25">
      <c r="A17" s="9"/>
      <c r="B17" s="10"/>
      <c r="C17" s="10"/>
      <c r="D17" s="11"/>
      <c r="E17" s="34"/>
      <c r="F17" s="36"/>
    </row>
    <row r="18" spans="1:6" ht="24" customHeight="1" x14ac:dyDescent="0.25">
      <c r="A18" s="9"/>
      <c r="B18" s="10"/>
      <c r="C18" s="10"/>
      <c r="D18" s="11"/>
      <c r="E18" s="34"/>
      <c r="F18" s="35"/>
    </row>
  </sheetData>
  <mergeCells count="1">
    <mergeCell ref="A1:E1"/>
  </mergeCells>
  <conditionalFormatting sqref="B4:B18">
    <cfRule type="cellIs" dxfId="29" priority="5" operator="equal">
      <formula>"Not Started"</formula>
    </cfRule>
    <cfRule type="cellIs" dxfId="28" priority="6" operator="equal">
      <formula>"In Progress"</formula>
    </cfRule>
    <cfRule type="cellIs" dxfId="27" priority="7" operator="equal">
      <formula>"Completed"</formula>
    </cfRule>
  </conditionalFormatting>
  <conditionalFormatting sqref="C4:C18">
    <cfRule type="cellIs" dxfId="26" priority="1" operator="equal">
      <formula>"Green"</formula>
    </cfRule>
    <cfRule type="cellIs" dxfId="25" priority="2" operator="equal">
      <formula>"Amber"</formula>
    </cfRule>
    <cfRule type="cellIs" dxfId="24" priority="3" operator="equal">
      <formula>"Red"</formula>
    </cfRule>
  </conditionalFormatting>
  <dataValidations count="3">
    <dataValidation type="list" allowBlank="1" sqref="B4:B18" xr:uid="{00000000-0002-0000-0600-000000000000}">
      <formula1>"Not Started,In Progress,Completed"</formula1>
    </dataValidation>
    <dataValidation type="list" allowBlank="1" sqref="E4:E18" xr:uid="{00000000-0002-0000-06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4647D610-A084-4D58-AF9B-C59CD8537776}">
      <formula1>"Green,Amber,Red"</formula1>
    </dataValidation>
  </dataValidations>
  <hyperlinks>
    <hyperlink ref="A2" location="'Dashboard'!A1" display="&lt; Return to Dashboard" xr:uid="{532A4B47-D439-47B5-B1E0-9945B794BCDE}"/>
  </hyperlink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showGridLines="0" workbookViewId="0">
      <pane ySplit="3" topLeftCell="A4" activePane="bottomLeft" state="frozen"/>
      <selection pane="bottomLeft" activeCell="J4" sqref="J4"/>
    </sheetView>
  </sheetViews>
  <sheetFormatPr defaultRowHeight="15" x14ac:dyDescent="0.25"/>
  <cols>
    <col min="1" max="1" width="36" customWidth="1"/>
    <col min="2" max="3" width="14" customWidth="1"/>
    <col min="4" max="4" width="15" style="19" customWidth="1"/>
    <col min="5" max="5" width="38" customWidth="1"/>
    <col min="6" max="6" width="55.7109375" customWidth="1"/>
  </cols>
  <sheetData>
    <row r="1" spans="1:6" ht="32.1" customHeight="1" x14ac:dyDescent="0.25">
      <c r="A1" s="72" t="s">
        <v>114</v>
      </c>
      <c r="B1" s="58"/>
      <c r="C1" s="58"/>
      <c r="D1" s="58"/>
      <c r="E1" s="58"/>
    </row>
    <row r="2" spans="1:6" ht="18" customHeight="1" x14ac:dyDescent="0.25">
      <c r="A2" s="31" t="s">
        <v>41</v>
      </c>
    </row>
    <row r="3" spans="1:6" ht="26.1" customHeight="1" x14ac:dyDescent="0.25">
      <c r="A3" s="7" t="s">
        <v>42</v>
      </c>
      <c r="B3" s="7" t="s">
        <v>43</v>
      </c>
      <c r="C3" s="7" t="s">
        <v>44</v>
      </c>
      <c r="D3" s="20" t="s">
        <v>38</v>
      </c>
      <c r="E3" s="7" t="s">
        <v>45</v>
      </c>
      <c r="F3" s="37" t="s">
        <v>46</v>
      </c>
    </row>
    <row r="4" spans="1:6" ht="126.75" customHeight="1" x14ac:dyDescent="0.25">
      <c r="A4" s="9" t="s">
        <v>115</v>
      </c>
      <c r="B4" s="10" t="s">
        <v>30</v>
      </c>
      <c r="C4" s="10" t="s">
        <v>37</v>
      </c>
      <c r="D4" s="11">
        <v>46318</v>
      </c>
      <c r="E4" s="34" t="s">
        <v>116</v>
      </c>
      <c r="F4" s="36"/>
    </row>
    <row r="5" spans="1:6" ht="24" customHeight="1" x14ac:dyDescent="0.25">
      <c r="A5" s="9" t="s">
        <v>117</v>
      </c>
      <c r="B5" s="10"/>
      <c r="C5" s="10"/>
      <c r="D5" s="11"/>
      <c r="E5" s="34"/>
      <c r="F5" s="36"/>
    </row>
    <row r="6" spans="1:6" ht="24" customHeight="1" x14ac:dyDescent="0.25">
      <c r="A6" s="9" t="s">
        <v>118</v>
      </c>
      <c r="B6" s="10"/>
      <c r="C6" s="10"/>
      <c r="D6" s="11"/>
      <c r="E6" s="34"/>
      <c r="F6" s="36"/>
    </row>
    <row r="7" spans="1:6" ht="24" customHeight="1" x14ac:dyDescent="0.25">
      <c r="A7" s="9" t="s">
        <v>119</v>
      </c>
      <c r="B7" s="10"/>
      <c r="C7" s="10"/>
      <c r="D7" s="11"/>
      <c r="E7" s="34"/>
      <c r="F7" s="36"/>
    </row>
    <row r="8" spans="1:6" ht="154.5" customHeight="1" x14ac:dyDescent="0.25">
      <c r="A8" s="9" t="s">
        <v>120</v>
      </c>
      <c r="B8" s="10" t="s">
        <v>31</v>
      </c>
      <c r="C8" s="10" t="s">
        <v>37</v>
      </c>
      <c r="D8" s="11">
        <v>46315</v>
      </c>
      <c r="E8" s="34" t="s">
        <v>121</v>
      </c>
      <c r="F8" s="36"/>
    </row>
    <row r="9" spans="1:6" ht="24" customHeight="1" x14ac:dyDescent="0.25">
      <c r="A9" s="9"/>
      <c r="B9" s="10"/>
      <c r="C9" s="10"/>
      <c r="D9" s="11"/>
      <c r="E9" s="34"/>
      <c r="F9" s="36"/>
    </row>
    <row r="10" spans="1:6" ht="24" customHeight="1" x14ac:dyDescent="0.25">
      <c r="A10" s="9"/>
      <c r="B10" s="10"/>
      <c r="C10" s="10"/>
      <c r="D10" s="11"/>
      <c r="E10" s="34"/>
      <c r="F10" s="36"/>
    </row>
    <row r="11" spans="1:6" ht="24" customHeight="1" x14ac:dyDescent="0.25">
      <c r="A11" s="9"/>
      <c r="B11" s="10"/>
      <c r="C11" s="10"/>
      <c r="D11" s="11"/>
      <c r="E11" s="34"/>
      <c r="F11" s="36"/>
    </row>
    <row r="12" spans="1:6" ht="24" customHeight="1" x14ac:dyDescent="0.25">
      <c r="A12" s="9"/>
      <c r="B12" s="10"/>
      <c r="C12" s="10"/>
      <c r="D12" s="11"/>
      <c r="E12" s="34"/>
      <c r="F12" s="36"/>
    </row>
    <row r="13" spans="1:6" ht="24" customHeight="1" x14ac:dyDescent="0.25">
      <c r="A13" s="9"/>
      <c r="B13" s="10"/>
      <c r="C13" s="10"/>
      <c r="D13" s="11"/>
      <c r="E13" s="34"/>
      <c r="F13" s="36"/>
    </row>
    <row r="14" spans="1:6" ht="24" customHeight="1" x14ac:dyDescent="0.25">
      <c r="A14" s="9"/>
      <c r="B14" s="10"/>
      <c r="C14" s="10"/>
      <c r="D14" s="11"/>
      <c r="E14" s="34"/>
      <c r="F14" s="36"/>
    </row>
    <row r="15" spans="1:6" ht="24" customHeight="1" x14ac:dyDescent="0.25">
      <c r="A15" s="9"/>
      <c r="B15" s="10"/>
      <c r="C15" s="10"/>
      <c r="D15" s="11"/>
      <c r="E15" s="34"/>
      <c r="F15" s="36"/>
    </row>
    <row r="16" spans="1:6" ht="24" customHeight="1" x14ac:dyDescent="0.25">
      <c r="A16" s="9"/>
      <c r="B16" s="10"/>
      <c r="C16" s="10"/>
      <c r="D16" s="11"/>
      <c r="E16" s="34"/>
      <c r="F16" s="36"/>
    </row>
    <row r="17" spans="1:6" ht="24" customHeight="1" x14ac:dyDescent="0.25">
      <c r="A17" s="9"/>
      <c r="B17" s="10"/>
      <c r="C17" s="10"/>
      <c r="D17" s="11"/>
      <c r="E17" s="34"/>
      <c r="F17" s="36"/>
    </row>
    <row r="18" spans="1:6" ht="24" customHeight="1" x14ac:dyDescent="0.25">
      <c r="A18" s="9"/>
      <c r="B18" s="10"/>
      <c r="C18" s="10"/>
      <c r="D18" s="11"/>
      <c r="E18" s="34"/>
      <c r="F18" s="35"/>
    </row>
  </sheetData>
  <mergeCells count="1">
    <mergeCell ref="A1:E1"/>
  </mergeCells>
  <conditionalFormatting sqref="B4:B18">
    <cfRule type="cellIs" dxfId="23" priority="5" operator="equal">
      <formula>"Not Started"</formula>
    </cfRule>
    <cfRule type="cellIs" dxfId="22" priority="6" operator="equal">
      <formula>"In Progress"</formula>
    </cfRule>
    <cfRule type="cellIs" dxfId="21" priority="7" operator="equal">
      <formula>"Completed"</formula>
    </cfRule>
  </conditionalFormatting>
  <conditionalFormatting sqref="C4:C18">
    <cfRule type="cellIs" dxfId="20" priority="1" operator="equal">
      <formula>"Green"</formula>
    </cfRule>
    <cfRule type="cellIs" dxfId="19" priority="2" operator="equal">
      <formula>"Amber"</formula>
    </cfRule>
    <cfRule type="cellIs" dxfId="18" priority="3" operator="equal">
      <formula>"Red"</formula>
    </cfRule>
  </conditionalFormatting>
  <dataValidations count="3">
    <dataValidation type="list" allowBlank="1" sqref="B4:B18" xr:uid="{00000000-0002-0000-0700-000000000000}">
      <formula1>"Not Started,In Progress,Completed"</formula1>
    </dataValidation>
    <dataValidation type="list" allowBlank="1" sqref="E4:E18" xr:uid="{00000000-0002-0000-07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15AF1E36-42FD-4CF9-95B4-34BFF7143734}">
      <formula1>"Green,Amber,Red"</formula1>
    </dataValidation>
  </dataValidations>
  <hyperlinks>
    <hyperlink ref="A2" location="'Dashboard'!A1" display="&lt; Return to Dashboard" xr:uid="{6C29F949-0882-4F04-95C2-56A5A530131C}"/>
  </hyperlink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showGridLines="0" workbookViewId="0">
      <pane ySplit="3" topLeftCell="A4" activePane="bottomLeft" state="frozen"/>
      <selection activeCell="D1" sqref="D1"/>
      <selection pane="bottomLeft" activeCell="I8" sqref="I8"/>
    </sheetView>
  </sheetViews>
  <sheetFormatPr defaultRowHeight="15" x14ac:dyDescent="0.25"/>
  <cols>
    <col min="1" max="1" width="36" customWidth="1"/>
    <col min="2" max="3" width="14" customWidth="1"/>
    <col min="4" max="4" width="17.7109375" style="19" customWidth="1"/>
    <col min="5" max="5" width="43.5703125" customWidth="1"/>
    <col min="6" max="6" width="55.7109375" customWidth="1"/>
  </cols>
  <sheetData>
    <row r="1" spans="1:6" ht="32.1" customHeight="1" x14ac:dyDescent="0.25">
      <c r="A1" s="73" t="s">
        <v>122</v>
      </c>
      <c r="B1" s="58"/>
      <c r="C1" s="58"/>
      <c r="D1" s="58"/>
      <c r="E1" s="58"/>
    </row>
    <row r="2" spans="1:6" ht="18" customHeight="1" x14ac:dyDescent="0.25">
      <c r="A2" s="31" t="s">
        <v>41</v>
      </c>
    </row>
    <row r="3" spans="1:6" ht="26.1" customHeight="1" x14ac:dyDescent="0.25">
      <c r="A3" s="7" t="s">
        <v>42</v>
      </c>
      <c r="B3" s="7" t="s">
        <v>43</v>
      </c>
      <c r="C3" s="7" t="s">
        <v>44</v>
      </c>
      <c r="D3" s="20" t="s">
        <v>38</v>
      </c>
      <c r="E3" s="7" t="s">
        <v>45</v>
      </c>
      <c r="F3" s="37" t="s">
        <v>46</v>
      </c>
    </row>
    <row r="4" spans="1:6" ht="115.5" customHeight="1" x14ac:dyDescent="0.25">
      <c r="A4" s="2" t="s">
        <v>123</v>
      </c>
      <c r="B4" s="3" t="s">
        <v>30</v>
      </c>
      <c r="C4" s="3" t="s">
        <v>37</v>
      </c>
      <c r="D4" s="4">
        <v>46317</v>
      </c>
      <c r="E4" s="34" t="s">
        <v>124</v>
      </c>
      <c r="F4" s="36"/>
    </row>
    <row r="5" spans="1:6" ht="42.75" customHeight="1" x14ac:dyDescent="0.25">
      <c r="A5" s="2" t="s">
        <v>125</v>
      </c>
      <c r="B5" s="3"/>
      <c r="C5" s="3"/>
      <c r="D5" s="4"/>
      <c r="E5" s="38"/>
      <c r="F5" s="36"/>
    </row>
    <row r="6" spans="1:6" ht="45.75" customHeight="1" x14ac:dyDescent="0.25">
      <c r="A6" s="2" t="s">
        <v>126</v>
      </c>
      <c r="B6" s="3"/>
      <c r="C6" s="3"/>
      <c r="D6" s="4"/>
      <c r="E6" s="38"/>
      <c r="F6" s="36"/>
    </row>
    <row r="7" spans="1:6" ht="24" customHeight="1" x14ac:dyDescent="0.25">
      <c r="A7" s="2"/>
      <c r="B7" s="3"/>
      <c r="C7" s="3"/>
      <c r="D7" s="4"/>
      <c r="E7" s="38"/>
      <c r="F7" s="36"/>
    </row>
    <row r="8" spans="1:6" ht="24" customHeight="1" x14ac:dyDescent="0.25">
      <c r="A8" s="2"/>
      <c r="B8" s="3"/>
      <c r="C8" s="3"/>
      <c r="D8" s="4"/>
      <c r="E8" s="38"/>
      <c r="F8" s="36"/>
    </row>
    <row r="9" spans="1:6" ht="24" customHeight="1" x14ac:dyDescent="0.25">
      <c r="A9" s="2"/>
      <c r="B9" s="3"/>
      <c r="C9" s="3"/>
      <c r="D9" s="4"/>
      <c r="E9" s="38"/>
      <c r="F9" s="36"/>
    </row>
    <row r="10" spans="1:6" ht="24" customHeight="1" x14ac:dyDescent="0.25">
      <c r="A10" s="2"/>
      <c r="B10" s="3"/>
      <c r="C10" s="3"/>
      <c r="D10" s="4"/>
      <c r="E10" s="38"/>
      <c r="F10" s="36"/>
    </row>
    <row r="11" spans="1:6" ht="24" customHeight="1" x14ac:dyDescent="0.25">
      <c r="A11" s="2"/>
      <c r="B11" s="3"/>
      <c r="C11" s="3"/>
      <c r="D11" s="4"/>
      <c r="E11" s="38"/>
      <c r="F11" s="36"/>
    </row>
    <row r="12" spans="1:6" ht="24" customHeight="1" x14ac:dyDescent="0.25">
      <c r="A12" s="2"/>
      <c r="B12" s="3"/>
      <c r="C12" s="3"/>
      <c r="D12" s="4"/>
      <c r="E12" s="38"/>
      <c r="F12" s="36"/>
    </row>
    <row r="13" spans="1:6" ht="24" customHeight="1" x14ac:dyDescent="0.25">
      <c r="A13" s="2"/>
      <c r="B13" s="3"/>
      <c r="C13" s="3"/>
      <c r="D13" s="4"/>
      <c r="E13" s="38"/>
      <c r="F13" s="36"/>
    </row>
    <row r="14" spans="1:6" ht="24" customHeight="1" x14ac:dyDescent="0.25">
      <c r="A14" s="2"/>
      <c r="B14" s="3"/>
      <c r="C14" s="3"/>
      <c r="D14" s="4"/>
      <c r="E14" s="38"/>
      <c r="F14" s="36"/>
    </row>
    <row r="15" spans="1:6" ht="24" customHeight="1" x14ac:dyDescent="0.25">
      <c r="A15" s="2"/>
      <c r="B15" s="3"/>
      <c r="C15" s="3"/>
      <c r="D15" s="4"/>
      <c r="E15" s="38"/>
      <c r="F15" s="36"/>
    </row>
    <row r="16" spans="1:6" ht="24" customHeight="1" x14ac:dyDescent="0.25">
      <c r="A16" s="2"/>
      <c r="B16" s="3"/>
      <c r="C16" s="3"/>
      <c r="D16" s="4"/>
      <c r="E16" s="38"/>
      <c r="F16" s="36"/>
    </row>
    <row r="17" spans="1:6" ht="24" customHeight="1" x14ac:dyDescent="0.25">
      <c r="A17" s="2"/>
      <c r="B17" s="3"/>
      <c r="C17" s="3"/>
      <c r="D17" s="4"/>
      <c r="E17" s="38"/>
      <c r="F17" s="36"/>
    </row>
    <row r="18" spans="1:6" ht="24" customHeight="1" x14ac:dyDescent="0.25">
      <c r="A18" s="2"/>
      <c r="B18" s="3"/>
      <c r="C18" s="3"/>
      <c r="D18" s="4"/>
      <c r="E18" s="38"/>
      <c r="F18" s="35"/>
    </row>
  </sheetData>
  <mergeCells count="1">
    <mergeCell ref="A1:E1"/>
  </mergeCells>
  <conditionalFormatting sqref="B4:B18">
    <cfRule type="cellIs" dxfId="17" priority="5" operator="equal">
      <formula>"Not Started"</formula>
    </cfRule>
    <cfRule type="cellIs" dxfId="16" priority="6" operator="equal">
      <formula>"In Progress"</formula>
    </cfRule>
    <cfRule type="cellIs" dxfId="15" priority="7" operator="equal">
      <formula>"Completed"</formula>
    </cfRule>
  </conditionalFormatting>
  <conditionalFormatting sqref="C4:C18">
    <cfRule type="cellIs" dxfId="14" priority="1" operator="equal">
      <formula>"Green"</formula>
    </cfRule>
    <cfRule type="cellIs" dxfId="13" priority="2" operator="equal">
      <formula>"Amber"</formula>
    </cfRule>
    <cfRule type="cellIs" dxfId="12" priority="3" operator="equal">
      <formula>"Red"</formula>
    </cfRule>
  </conditionalFormatting>
  <dataValidations count="3">
    <dataValidation type="list" allowBlank="1" sqref="B4:B18" xr:uid="{00000000-0002-0000-0800-000000000000}">
      <formula1>"Not Started,In Progress,Completed"</formula1>
    </dataValidation>
    <dataValidation type="list" allowBlank="1" sqref="E4:E18" xr:uid="{00000000-0002-0000-08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CD10166-6FE4-4EB5-91B1-D37A7BE2EFF9}">
      <formula1>"Green,Amber,Red"</formula1>
    </dataValidation>
  </dataValidations>
  <hyperlinks>
    <hyperlink ref="A2" location="'Dashboard'!A1" display="&lt; Return to Dashboard" xr:uid="{AD72605E-D32B-4218-B4CF-360171F9B183}"/>
  </hyperlink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showGridLines="0" workbookViewId="0">
      <pane ySplit="3" topLeftCell="A4" activePane="bottomLeft" state="frozen"/>
      <selection pane="bottomLeft" activeCell="N5" sqref="N5"/>
    </sheetView>
  </sheetViews>
  <sheetFormatPr defaultRowHeight="15" x14ac:dyDescent="0.25"/>
  <cols>
    <col min="1" max="1" width="36" customWidth="1"/>
    <col min="2" max="2" width="14" customWidth="1"/>
    <col min="3" max="3" width="21.140625" customWidth="1"/>
    <col min="4" max="4" width="22.42578125" style="19" customWidth="1"/>
    <col min="5" max="5" width="38" customWidth="1"/>
    <col min="6" max="6" width="55.7109375" customWidth="1"/>
  </cols>
  <sheetData>
    <row r="1" spans="1:6" ht="32.1" customHeight="1" x14ac:dyDescent="0.25">
      <c r="A1" s="73" t="s">
        <v>127</v>
      </c>
      <c r="B1" s="58"/>
      <c r="C1" s="58"/>
      <c r="D1" s="58"/>
      <c r="E1" s="58"/>
    </row>
    <row r="2" spans="1:6" ht="18" customHeight="1" x14ac:dyDescent="0.25">
      <c r="A2" s="31" t="s">
        <v>41</v>
      </c>
    </row>
    <row r="3" spans="1:6" ht="26.1" customHeight="1" x14ac:dyDescent="0.25">
      <c r="A3" s="7" t="s">
        <v>42</v>
      </c>
      <c r="B3" s="7" t="s">
        <v>43</v>
      </c>
      <c r="C3" s="7" t="s">
        <v>44</v>
      </c>
      <c r="D3" s="20" t="s">
        <v>38</v>
      </c>
      <c r="E3" s="7" t="s">
        <v>45</v>
      </c>
      <c r="F3" s="37" t="s">
        <v>46</v>
      </c>
    </row>
    <row r="4" spans="1:6" ht="113.25" customHeight="1" x14ac:dyDescent="0.25">
      <c r="A4" s="2" t="s">
        <v>128</v>
      </c>
      <c r="B4" s="3" t="s">
        <v>30</v>
      </c>
      <c r="C4" s="3" t="s">
        <v>37</v>
      </c>
      <c r="D4" s="4">
        <v>46317</v>
      </c>
      <c r="E4" s="34" t="s">
        <v>129</v>
      </c>
      <c r="F4" s="36" t="s">
        <v>130</v>
      </c>
    </row>
    <row r="5" spans="1:6" ht="45" customHeight="1" x14ac:dyDescent="0.25">
      <c r="A5" s="2" t="s">
        <v>131</v>
      </c>
      <c r="B5" s="3"/>
      <c r="C5" s="3"/>
      <c r="D5" s="4"/>
      <c r="E5" s="38"/>
      <c r="F5" s="36"/>
    </row>
    <row r="6" spans="1:6" ht="37.5" customHeight="1" x14ac:dyDescent="0.25">
      <c r="A6" s="2" t="s">
        <v>132</v>
      </c>
      <c r="B6" s="3"/>
      <c r="C6" s="3"/>
      <c r="D6" s="4"/>
      <c r="E6" s="38"/>
      <c r="F6" s="36"/>
    </row>
    <row r="7" spans="1:6" ht="40.5" customHeight="1" x14ac:dyDescent="0.25">
      <c r="A7" s="2" t="s">
        <v>133</v>
      </c>
      <c r="B7" s="3"/>
      <c r="C7" s="3"/>
      <c r="D7" s="4"/>
      <c r="E7" s="38"/>
      <c r="F7" s="36"/>
    </row>
    <row r="8" spans="1:6" ht="24" customHeight="1" x14ac:dyDescent="0.25">
      <c r="A8" s="2"/>
      <c r="B8" s="3"/>
      <c r="C8" s="3"/>
      <c r="D8" s="4"/>
      <c r="E8" s="38"/>
      <c r="F8" s="36"/>
    </row>
    <row r="9" spans="1:6" ht="24" customHeight="1" x14ac:dyDescent="0.25">
      <c r="A9" s="2"/>
      <c r="B9" s="3"/>
      <c r="C9" s="3"/>
      <c r="D9" s="4"/>
      <c r="E9" s="38"/>
      <c r="F9" s="36"/>
    </row>
    <row r="10" spans="1:6" ht="24" customHeight="1" x14ac:dyDescent="0.25">
      <c r="A10" s="2"/>
      <c r="B10" s="3"/>
      <c r="C10" s="3"/>
      <c r="D10" s="4"/>
      <c r="E10" s="38"/>
      <c r="F10" s="36"/>
    </row>
    <row r="11" spans="1:6" ht="24" customHeight="1" x14ac:dyDescent="0.25">
      <c r="A11" s="2"/>
      <c r="B11" s="3"/>
      <c r="C11" s="3"/>
      <c r="D11" s="4"/>
      <c r="E11" s="38"/>
      <c r="F11" s="36"/>
    </row>
    <row r="12" spans="1:6" ht="24" customHeight="1" x14ac:dyDescent="0.25">
      <c r="A12" s="2"/>
      <c r="B12" s="3"/>
      <c r="C12" s="3"/>
      <c r="D12" s="4"/>
      <c r="E12" s="38"/>
      <c r="F12" s="36"/>
    </row>
    <row r="13" spans="1:6" ht="24" customHeight="1" x14ac:dyDescent="0.25">
      <c r="A13" s="2"/>
      <c r="B13" s="3"/>
      <c r="C13" s="3"/>
      <c r="D13" s="4"/>
      <c r="E13" s="38"/>
      <c r="F13" s="36"/>
    </row>
    <row r="14" spans="1:6" ht="24" customHeight="1" x14ac:dyDescent="0.25">
      <c r="A14" s="2"/>
      <c r="B14" s="3"/>
      <c r="C14" s="3"/>
      <c r="D14" s="4"/>
      <c r="E14" s="38"/>
      <c r="F14" s="36"/>
    </row>
    <row r="15" spans="1:6" ht="24" customHeight="1" x14ac:dyDescent="0.25">
      <c r="A15" s="2"/>
      <c r="B15" s="3"/>
      <c r="C15" s="3"/>
      <c r="D15" s="4"/>
      <c r="E15" s="38"/>
      <c r="F15" s="36"/>
    </row>
    <row r="16" spans="1:6" ht="24" customHeight="1" x14ac:dyDescent="0.25">
      <c r="A16" s="2"/>
      <c r="B16" s="3"/>
      <c r="C16" s="3"/>
      <c r="D16" s="4"/>
      <c r="E16" s="38"/>
      <c r="F16" s="36"/>
    </row>
    <row r="17" spans="1:6" ht="24" customHeight="1" x14ac:dyDescent="0.25">
      <c r="A17" s="2"/>
      <c r="B17" s="3"/>
      <c r="C17" s="3"/>
      <c r="D17" s="4"/>
      <c r="E17" s="38"/>
      <c r="F17" s="36"/>
    </row>
    <row r="18" spans="1:6" ht="24" customHeight="1" x14ac:dyDescent="0.25">
      <c r="A18" s="2"/>
      <c r="B18" s="3"/>
      <c r="C18" s="3"/>
      <c r="D18" s="4"/>
      <c r="E18" s="38"/>
      <c r="F18" s="35"/>
    </row>
  </sheetData>
  <mergeCells count="1">
    <mergeCell ref="A1:E1"/>
  </mergeCells>
  <conditionalFormatting sqref="B4:B18">
    <cfRule type="cellIs" dxfId="11" priority="5" operator="equal">
      <formula>"Not Started"</formula>
    </cfRule>
    <cfRule type="cellIs" dxfId="10" priority="6" operator="equal">
      <formula>"In Progress"</formula>
    </cfRule>
    <cfRule type="cellIs" dxfId="9" priority="7" operator="equal">
      <formula>"Completed"</formula>
    </cfRule>
  </conditionalFormatting>
  <conditionalFormatting sqref="C4:C18">
    <cfRule type="cellIs" dxfId="8" priority="1" operator="equal">
      <formula>"Green"</formula>
    </cfRule>
    <cfRule type="cellIs" dxfId="7" priority="2" operator="equal">
      <formula>"Amber"</formula>
    </cfRule>
    <cfRule type="cellIs" dxfId="6" priority="3" operator="equal">
      <formula>"Red"</formula>
    </cfRule>
  </conditionalFormatting>
  <dataValidations count="3">
    <dataValidation type="list" allowBlank="1" sqref="B4:B18" xr:uid="{00000000-0002-0000-0900-000000000000}">
      <formula1>"Not Started,In Progress,Completed"</formula1>
    </dataValidation>
    <dataValidation type="list" allowBlank="1" sqref="E4:E18" xr:uid="{00000000-0002-0000-09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362C242-C101-4AD1-A169-21453B952650}">
      <formula1>"Green,Amber,Red"</formula1>
    </dataValidation>
  </dataValidations>
  <hyperlinks>
    <hyperlink ref="A2" location="'Dashboard'!A1" display="&lt; Return to Dashboard" xr:uid="{B8F5389E-0181-4A32-9345-3D8FE1B6DDCA}"/>
  </hyperlink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showGridLines="0" zoomScale="115" zoomScaleNormal="115" workbookViewId="0">
      <pane ySplit="3" topLeftCell="A4" activePane="bottomLeft" state="frozen"/>
      <selection pane="bottomLeft" activeCell="L9" sqref="L9"/>
    </sheetView>
  </sheetViews>
  <sheetFormatPr defaultRowHeight="15" x14ac:dyDescent="0.25"/>
  <cols>
    <col min="1" max="1" width="36" customWidth="1"/>
    <col min="2" max="3" width="14" customWidth="1"/>
    <col min="4" max="4" width="15" style="19" customWidth="1"/>
    <col min="5" max="5" width="38" customWidth="1"/>
    <col min="6" max="6" width="55.7109375" customWidth="1"/>
  </cols>
  <sheetData>
    <row r="1" spans="1:6" ht="32.1" customHeight="1" x14ac:dyDescent="0.25">
      <c r="A1" s="72" t="s">
        <v>134</v>
      </c>
      <c r="B1" s="58"/>
      <c r="C1" s="58"/>
      <c r="D1" s="58"/>
      <c r="E1" s="58"/>
    </row>
    <row r="2" spans="1:6" ht="18" customHeight="1" x14ac:dyDescent="0.25">
      <c r="A2" s="31" t="s">
        <v>41</v>
      </c>
    </row>
    <row r="3" spans="1:6" ht="26.1" customHeight="1" x14ac:dyDescent="0.25">
      <c r="A3" s="8" t="s">
        <v>42</v>
      </c>
      <c r="B3" s="8" t="s">
        <v>43</v>
      </c>
      <c r="C3" s="8" t="s">
        <v>44</v>
      </c>
      <c r="D3" s="18" t="s">
        <v>38</v>
      </c>
      <c r="E3" s="8" t="s">
        <v>45</v>
      </c>
      <c r="F3" s="33" t="s">
        <v>46</v>
      </c>
    </row>
    <row r="4" spans="1:6" ht="44.25" customHeight="1" x14ac:dyDescent="0.25">
      <c r="A4" s="9" t="s">
        <v>135</v>
      </c>
      <c r="B4" s="10"/>
      <c r="C4" s="10"/>
      <c r="D4" s="11"/>
      <c r="E4" s="34"/>
      <c r="F4" s="36"/>
    </row>
    <row r="5" spans="1:6" ht="43.5" customHeight="1" x14ac:dyDescent="0.25">
      <c r="A5" s="9" t="s">
        <v>136</v>
      </c>
      <c r="B5" s="10"/>
      <c r="C5" s="10"/>
      <c r="D5" s="11"/>
      <c r="E5" s="34"/>
      <c r="F5" s="36"/>
    </row>
    <row r="6" spans="1:6" ht="48.75" customHeight="1" x14ac:dyDescent="0.25">
      <c r="A6" s="9" t="s">
        <v>137</v>
      </c>
      <c r="B6" s="10"/>
      <c r="C6" s="10"/>
      <c r="D6" s="11"/>
      <c r="E6" s="34"/>
      <c r="F6" s="36"/>
    </row>
    <row r="7" spans="1:6" ht="45.75" customHeight="1" x14ac:dyDescent="0.25">
      <c r="A7" s="9" t="s">
        <v>138</v>
      </c>
      <c r="B7" s="10"/>
      <c r="C7" s="10"/>
      <c r="D7" s="11"/>
      <c r="E7" s="34"/>
      <c r="F7" s="36"/>
    </row>
    <row r="8" spans="1:6" ht="57" customHeight="1" x14ac:dyDescent="0.25">
      <c r="A8" s="9" t="s">
        <v>139</v>
      </c>
      <c r="B8" s="10"/>
      <c r="C8" s="10"/>
      <c r="D8" s="11"/>
      <c r="E8" s="34"/>
      <c r="F8" s="36"/>
    </row>
    <row r="9" spans="1:6" ht="90.75" customHeight="1" x14ac:dyDescent="0.25">
      <c r="A9" s="9" t="s">
        <v>140</v>
      </c>
      <c r="B9" s="10" t="s">
        <v>31</v>
      </c>
      <c r="C9" s="10" t="s">
        <v>32</v>
      </c>
      <c r="D9" s="11">
        <v>46315</v>
      </c>
      <c r="E9" s="34" t="s">
        <v>141</v>
      </c>
      <c r="F9" s="36"/>
    </row>
    <row r="10" spans="1:6" ht="142.5" customHeight="1" x14ac:dyDescent="0.25">
      <c r="A10" s="9" t="s">
        <v>142</v>
      </c>
      <c r="B10" s="10" t="s">
        <v>30</v>
      </c>
      <c r="C10" s="10" t="s">
        <v>37</v>
      </c>
      <c r="D10" s="11">
        <v>46318</v>
      </c>
      <c r="E10" s="34" t="s">
        <v>143</v>
      </c>
      <c r="F10" s="36"/>
    </row>
    <row r="11" spans="1:6" ht="43.5" customHeight="1" x14ac:dyDescent="0.25">
      <c r="A11" s="9" t="s">
        <v>144</v>
      </c>
      <c r="B11" s="10"/>
      <c r="C11" s="10"/>
      <c r="D11" s="11"/>
      <c r="E11" s="34"/>
      <c r="F11" s="36"/>
    </row>
    <row r="12" spans="1:6" ht="24" customHeight="1" x14ac:dyDescent="0.25">
      <c r="A12" s="9"/>
      <c r="B12" s="10"/>
      <c r="C12" s="10"/>
      <c r="D12" s="11"/>
      <c r="E12" s="34"/>
      <c r="F12" s="36"/>
    </row>
    <row r="13" spans="1:6" ht="24" customHeight="1" x14ac:dyDescent="0.25">
      <c r="A13" s="9"/>
      <c r="B13" s="10"/>
      <c r="C13" s="10"/>
      <c r="D13" s="11"/>
      <c r="E13" s="34"/>
      <c r="F13" s="36"/>
    </row>
    <row r="14" spans="1:6" ht="24" customHeight="1" x14ac:dyDescent="0.25">
      <c r="A14" s="9"/>
      <c r="B14" s="10"/>
      <c r="C14" s="10"/>
      <c r="D14" s="11"/>
      <c r="E14" s="34"/>
      <c r="F14" s="36"/>
    </row>
    <row r="15" spans="1:6" ht="24" customHeight="1" x14ac:dyDescent="0.25">
      <c r="A15" s="9"/>
      <c r="B15" s="10"/>
      <c r="C15" s="10"/>
      <c r="D15" s="11"/>
      <c r="E15" s="34"/>
      <c r="F15" s="36"/>
    </row>
    <row r="16" spans="1:6" ht="24" customHeight="1" x14ac:dyDescent="0.25">
      <c r="A16" s="9"/>
      <c r="B16" s="10"/>
      <c r="C16" s="10"/>
      <c r="D16" s="11"/>
      <c r="E16" s="34"/>
      <c r="F16" s="36"/>
    </row>
    <row r="17" spans="1:6" ht="24" customHeight="1" x14ac:dyDescent="0.25">
      <c r="A17" s="9"/>
      <c r="B17" s="10"/>
      <c r="C17" s="10"/>
      <c r="D17" s="11"/>
      <c r="E17" s="34"/>
      <c r="F17" s="36"/>
    </row>
    <row r="18" spans="1:6" ht="24" customHeight="1" x14ac:dyDescent="0.25">
      <c r="A18" s="9"/>
      <c r="B18" s="10"/>
      <c r="C18" s="10"/>
      <c r="D18" s="11"/>
      <c r="E18" s="34"/>
      <c r="F18" s="35"/>
    </row>
  </sheetData>
  <mergeCells count="1">
    <mergeCell ref="A1:E1"/>
  </mergeCells>
  <conditionalFormatting sqref="B4:B18">
    <cfRule type="cellIs" dxfId="5" priority="5" operator="equal">
      <formula>"Not Started"</formula>
    </cfRule>
    <cfRule type="cellIs" dxfId="4" priority="6" operator="equal">
      <formula>"In Progress"</formula>
    </cfRule>
    <cfRule type="cellIs" dxfId="3" priority="7" operator="equal">
      <formula>"Completed"</formula>
    </cfRule>
  </conditionalFormatting>
  <conditionalFormatting sqref="C4:C18">
    <cfRule type="cellIs" dxfId="2" priority="1" operator="equal">
      <formula>"Green"</formula>
    </cfRule>
    <cfRule type="cellIs" dxfId="1" priority="2" operator="equal">
      <formula>"Amber"</formula>
    </cfRule>
    <cfRule type="cellIs" dxfId="0" priority="3" operator="equal">
      <formula>"Red"</formula>
    </cfRule>
  </conditionalFormatting>
  <dataValidations count="3">
    <dataValidation type="list" allowBlank="1" sqref="B4:B18" xr:uid="{00000000-0002-0000-0A00-000000000000}">
      <formula1>"Not Started,In Progress,Completed"</formula1>
    </dataValidation>
    <dataValidation type="list" allowBlank="1" sqref="E4:E18" xr:uid="{00000000-0002-0000-0A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C759799-FD58-478C-A3E1-2DA6CB9B7404}">
      <formula1>"Green,Amber,Red"</formula1>
    </dataValidation>
  </dataValidations>
  <hyperlinks>
    <hyperlink ref="A2" location="'Dashboard'!A1" display="&lt; Return to Dashboard" xr:uid="{CDB968D3-9478-4837-AD74-86FA9638F8B2}"/>
  </hyperlink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D12"/>
  <sheetViews>
    <sheetView showGridLines="0" workbookViewId="0">
      <selection activeCell="B9" sqref="B9"/>
    </sheetView>
  </sheetViews>
  <sheetFormatPr defaultRowHeight="15" x14ac:dyDescent="0.25"/>
  <cols>
    <col min="1" max="1" width="3" customWidth="1"/>
    <col min="2" max="2" width="22" customWidth="1"/>
    <col min="3" max="3" width="16" customWidth="1"/>
    <col min="4" max="4" width="3" customWidth="1"/>
  </cols>
  <sheetData>
    <row r="2" spans="2:4" ht="28.5" customHeight="1" x14ac:dyDescent="0.45">
      <c r="B2" s="75" t="s">
        <v>145</v>
      </c>
      <c r="C2" s="58"/>
      <c r="D2" s="58"/>
    </row>
    <row r="4" spans="2:4" ht="18.75" customHeight="1" x14ac:dyDescent="0.3">
      <c r="B4" s="57" t="s">
        <v>146</v>
      </c>
      <c r="C4" s="58"/>
      <c r="D4" s="58"/>
    </row>
    <row r="6" spans="2:4" ht="15.75" customHeight="1" x14ac:dyDescent="0.25">
      <c r="B6" s="12" t="s">
        <v>44</v>
      </c>
      <c r="C6" s="12" t="s">
        <v>147</v>
      </c>
    </row>
    <row r="7" spans="2:4" x14ac:dyDescent="0.25">
      <c r="B7" s="13" t="s">
        <v>33</v>
      </c>
      <c r="C7" s="3">
        <v>1</v>
      </c>
    </row>
    <row r="8" spans="2:4" x14ac:dyDescent="0.25">
      <c r="B8" s="14" t="s">
        <v>32</v>
      </c>
      <c r="C8" s="3">
        <v>3</v>
      </c>
    </row>
    <row r="9" spans="2:4" x14ac:dyDescent="0.25">
      <c r="B9" s="15" t="s">
        <v>37</v>
      </c>
      <c r="C9" s="3">
        <v>6</v>
      </c>
    </row>
    <row r="10" spans="2:4" x14ac:dyDescent="0.25">
      <c r="B10" s="16" t="s">
        <v>148</v>
      </c>
      <c r="C10" s="3" t="s">
        <v>149</v>
      </c>
    </row>
    <row r="12" spans="2:4" x14ac:dyDescent="0.25">
      <c r="B12" s="74" t="s">
        <v>150</v>
      </c>
      <c r="C12" s="58"/>
      <c r="D12" s="58"/>
    </row>
  </sheetData>
  <mergeCells count="3">
    <mergeCell ref="B12:D12"/>
    <mergeCell ref="B2:D2"/>
    <mergeCell ref="B4:D4"/>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0fb2ba46-83e9-4d91-a985-8245aaf43e5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E3655B0D4A3F946B2B182A2452821C6" ma:contentTypeVersion="16" ma:contentTypeDescription="Create a new document." ma:contentTypeScope="" ma:versionID="7a9e24b6dc8563a5b2c5318cfdd77097">
  <xsd:schema xmlns:xsd="http://www.w3.org/2001/XMLSchema" xmlns:xs="http://www.w3.org/2001/XMLSchema" xmlns:p="http://schemas.microsoft.com/office/2006/metadata/properties" xmlns:ns3="0fb2ba46-83e9-4d91-a985-8245aaf43e5c" xmlns:ns4="ed8dfb7b-01af-4433-b4cc-631574050608" targetNamespace="http://schemas.microsoft.com/office/2006/metadata/properties" ma:root="true" ma:fieldsID="b443fa188f0c7e58c89b943786fc45fd" ns3:_="" ns4:_="">
    <xsd:import namespace="0fb2ba46-83e9-4d91-a985-8245aaf43e5c"/>
    <xsd:import namespace="ed8dfb7b-01af-4433-b4cc-631574050608"/>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LengthInSeconds" minOccurs="0"/>
                <xsd:element ref="ns4:SharedWithUsers" minOccurs="0"/>
                <xsd:element ref="ns4:SharedWithDetails" minOccurs="0"/>
                <xsd:element ref="ns4:SharingHintHash" minOccurs="0"/>
                <xsd:element ref="ns3:_activity" minOccurs="0"/>
                <xsd:element ref="ns3:MediaServiceObjectDetectorVersions"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b2ba46-83e9-4d91-a985-8245aaf43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_activity" ma:index="19" nillable="true" ma:displayName="_activity" ma:hidden="true" ma:internalName="_activity">
      <xsd:simpleType>
        <xsd:restriction base="dms:Note"/>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8dfb7b-01af-4433-b4cc-631574050608"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A9169F2-DC6F-440D-AA51-2EA02192DC48}">
  <ds:schemaRefs>
    <ds:schemaRef ds:uri="http://schemas.microsoft.com/sharepoint/v3/contenttype/forms"/>
  </ds:schemaRefs>
</ds:datastoreItem>
</file>

<file path=customXml/itemProps2.xml><?xml version="1.0" encoding="utf-8"?>
<ds:datastoreItem xmlns:ds="http://schemas.openxmlformats.org/officeDocument/2006/customXml" ds:itemID="{783C6A1E-EF8C-4F8F-AF56-34A608ED7025}">
  <ds:schemaRefs>
    <ds:schemaRef ds:uri="http://schemas.openxmlformats.org/package/2006/metadata/core-properties"/>
    <ds:schemaRef ds:uri="http://schemas.microsoft.com/office/infopath/2007/PartnerControls"/>
    <ds:schemaRef ds:uri="http://schemas.microsoft.com/office/2006/metadata/properties"/>
    <ds:schemaRef ds:uri="http://www.w3.org/XML/1998/namespace"/>
    <ds:schemaRef ds:uri="ed8dfb7b-01af-4433-b4cc-631574050608"/>
    <ds:schemaRef ds:uri="http://purl.org/dc/elements/1.1/"/>
    <ds:schemaRef ds:uri="http://purl.org/dc/dcmitype/"/>
    <ds:schemaRef ds:uri="0fb2ba46-83e9-4d91-a985-8245aaf43e5c"/>
    <ds:schemaRef ds:uri="http://schemas.microsoft.com/office/2006/documentManagement/types"/>
    <ds:schemaRef ds:uri="http://purl.org/dc/terms/"/>
  </ds:schemaRefs>
</ds:datastoreItem>
</file>

<file path=customXml/itemProps3.xml><?xml version="1.0" encoding="utf-8"?>
<ds:datastoreItem xmlns:ds="http://schemas.openxmlformats.org/officeDocument/2006/customXml" ds:itemID="{CA2D1D04-17F3-4DB1-A413-D2712C8E33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b2ba46-83e9-4d91-a985-8245aaf43e5c"/>
    <ds:schemaRef ds:uri="ed8dfb7b-01af-4433-b4cc-6315740506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Revision Timetable</vt:lpstr>
      <vt:lpstr>Dashboard</vt:lpstr>
      <vt:lpstr>Biology</vt:lpstr>
      <vt:lpstr>Chemistry</vt:lpstr>
      <vt:lpstr>Physics</vt:lpstr>
      <vt:lpstr>Mathematics</vt:lpstr>
      <vt:lpstr>English Language</vt:lpstr>
      <vt:lpstr>English Literature</vt:lpstr>
      <vt:lpstr>Geography</vt:lpstr>
      <vt:lpstr>History</vt:lpstr>
      <vt:lpstr>Spanish</vt:lpstr>
      <vt:lpstr>Computer Science</vt:lpstr>
      <vt:lpstr>Settings</vt:lpstr>
      <vt:lpstr>Subjects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Chinedu Chile</cp:lastModifiedBy>
  <cp:revision/>
  <dcterms:created xsi:type="dcterms:W3CDTF">2026-10-11T11:12:22Z</dcterms:created>
  <dcterms:modified xsi:type="dcterms:W3CDTF">2026-10-23T15:48:43Z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0x0101006E3655B0D4A3F946B2B182A2452821C6</vt:lpwstr>
  </property>
</Properties>
</file>
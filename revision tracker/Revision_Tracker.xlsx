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948b5d172b360b34/Python Stuff/revision tracker/"/>
    </mc:Choice>
  </mc:AlternateContent>
  <xr:revisionPtr revIDLastSave="67" documentId="8_{DA7A25D8-0A89-48D5-BAF7-5DAE5CAD8422}" xr6:coauthVersionLast="47" xr6:coauthVersionMax="47" xr10:uidLastSave="{D375555B-8178-4D67-80B0-879BEDF53A20}"/>
  <bookViews>
    <workbookView xWindow="-120" yWindow="-120" windowWidth="29040" windowHeight="15720" firstSheet="1" activeTab="1" xr2:uid="{00000000-000D-0000-FFFF-FFFF00000000}"/>
  </bookViews>
  <sheets>
    <sheet name="Revision Timetable" sheetId="13" r:id="rId1"/>
    <sheet name="Dashboard" sheetId="1" r:id="rId2"/>
    <sheet name="Biology" sheetId="2" r:id="rId3"/>
    <sheet name="Chemistry" sheetId="3" r:id="rId4"/>
    <sheet name="Physics" sheetId="4" r:id="rId5"/>
    <sheet name="Mathematics" sheetId="5" r:id="rId6"/>
    <sheet name="English Language" sheetId="6" r:id="rId7"/>
    <sheet name="English Literature" sheetId="7" r:id="rId8"/>
    <sheet name="Geography" sheetId="8" r:id="rId9"/>
    <sheet name="History" sheetId="9" r:id="rId10"/>
    <sheet name="Spanish" sheetId="10" r:id="rId11"/>
    <sheet name="Computer Science" sheetId="11" r:id="rId12"/>
    <sheet name="Settings" sheetId="12" r:id="rId13"/>
  </sheets>
  <definedNames>
    <definedName name="Subjects">Dashboard!$N$2:$N$11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C9" i="1"/>
  <c r="A9" i="1"/>
  <c r="G27" i="1"/>
  <c r="E27" i="1"/>
  <c r="C27" i="1"/>
  <c r="A27" i="1"/>
  <c r="J15" i="1"/>
  <c r="J23" i="1"/>
  <c r="J22" i="1"/>
  <c r="J21" i="1"/>
  <c r="J20" i="1"/>
  <c r="J19" i="1"/>
  <c r="J18" i="1"/>
  <c r="J17" i="1"/>
  <c r="J16" i="1"/>
  <c r="J14" i="1"/>
  <c r="H23" i="1"/>
  <c r="G23" i="1"/>
  <c r="F23" i="1"/>
  <c r="E23" i="1"/>
  <c r="D23" i="1"/>
  <c r="B23" i="1"/>
  <c r="C23" i="1" s="1"/>
  <c r="H22" i="1"/>
  <c r="G22" i="1"/>
  <c r="F22" i="1"/>
  <c r="E22" i="1"/>
  <c r="D22" i="1"/>
  <c r="B22" i="1"/>
  <c r="C22" i="1" s="1"/>
  <c r="H21" i="1"/>
  <c r="G21" i="1"/>
  <c r="F21" i="1"/>
  <c r="E21" i="1"/>
  <c r="D21" i="1"/>
  <c r="B21" i="1"/>
  <c r="C21" i="1" s="1"/>
  <c r="H20" i="1"/>
  <c r="G20" i="1"/>
  <c r="F20" i="1"/>
  <c r="E20" i="1"/>
  <c r="D20" i="1"/>
  <c r="B20" i="1"/>
  <c r="C20" i="1" s="1"/>
  <c r="H19" i="1"/>
  <c r="G19" i="1"/>
  <c r="F19" i="1"/>
  <c r="E19" i="1"/>
  <c r="D19" i="1"/>
  <c r="B19" i="1"/>
  <c r="C19" i="1" s="1"/>
  <c r="H18" i="1"/>
  <c r="G18" i="1"/>
  <c r="F18" i="1"/>
  <c r="E18" i="1"/>
  <c r="D18" i="1"/>
  <c r="B18" i="1"/>
  <c r="C18" i="1" s="1"/>
  <c r="H17" i="1"/>
  <c r="G17" i="1"/>
  <c r="F17" i="1"/>
  <c r="E17" i="1"/>
  <c r="D17" i="1"/>
  <c r="B17" i="1"/>
  <c r="C17" i="1" s="1"/>
  <c r="H16" i="1"/>
  <c r="G16" i="1"/>
  <c r="F16" i="1"/>
  <c r="E16" i="1"/>
  <c r="D16" i="1"/>
  <c r="B16" i="1"/>
  <c r="C16" i="1" s="1"/>
  <c r="H15" i="1"/>
  <c r="G15" i="1"/>
  <c r="F15" i="1"/>
  <c r="E15" i="1"/>
  <c r="D15" i="1"/>
  <c r="B15" i="1"/>
  <c r="C15" i="1" s="1"/>
  <c r="H14" i="1"/>
  <c r="G14" i="1"/>
  <c r="F14" i="1"/>
  <c r="E14" i="1"/>
  <c r="D14" i="1"/>
  <c r="B14" i="1"/>
  <c r="C14" i="1" s="1"/>
  <c r="G6" i="1"/>
  <c r="E6" i="1"/>
  <c r="A6" i="1"/>
  <c r="C6" i="1" s="1"/>
  <c r="I6" i="1" l="1"/>
  <c r="I23" i="1"/>
  <c r="I22" i="1"/>
  <c r="I21" i="1"/>
  <c r="I20" i="1"/>
  <c r="I19" i="1"/>
  <c r="I18" i="1"/>
  <c r="I17" i="1"/>
  <c r="I16" i="1"/>
  <c r="I15" i="1"/>
  <c r="I14" i="1"/>
  <c r="E28" i="1"/>
  <c r="A28" i="1"/>
  <c r="G28" i="1"/>
  <c r="C28" i="1"/>
  <c r="AA27" i="1" l="1"/>
  <c r="AC27" i="1"/>
  <c r="AD27" i="1"/>
  <c r="AB27" i="1"/>
</calcChain>
</file>

<file path=xl/sharedStrings.xml><?xml version="1.0" encoding="utf-8"?>
<sst xmlns="http://schemas.openxmlformats.org/spreadsheetml/2006/main" count="366" uniqueCount="154">
  <si>
    <t>🗓️ Week 1 Timetable</t>
  </si>
  <si>
    <t>🗓️ Week 2 Timetable</t>
  </si>
  <si>
    <t>Day</t>
  </si>
  <si>
    <t>Session 1</t>
  </si>
  <si>
    <t>Session 2</t>
  </si>
  <si>
    <t>Session 3</t>
  </si>
  <si>
    <t>Session 4</t>
  </si>
  <si>
    <t>Monday</t>
  </si>
  <si>
    <t>Physics</t>
  </si>
  <si>
    <t>English Literature</t>
  </si>
  <si>
    <t>History</t>
  </si>
  <si>
    <t>Spanish</t>
  </si>
  <si>
    <t>Geography</t>
  </si>
  <si>
    <t>Tuesday</t>
  </si>
  <si>
    <t>Chemistry</t>
  </si>
  <si>
    <t>Computer Science</t>
  </si>
  <si>
    <t>English Language</t>
  </si>
  <si>
    <t>Wednesday</t>
  </si>
  <si>
    <t>Biology</t>
  </si>
  <si>
    <t>Mathematics</t>
  </si>
  <si>
    <t>Thursday</t>
  </si>
  <si>
    <t>Friday</t>
  </si>
  <si>
    <t>Saturday</t>
  </si>
  <si>
    <t>-</t>
  </si>
  <si>
    <t>Sunday</t>
  </si>
  <si>
    <t xml:space="preserve">  GCSE Revision Tracker — Dashboard</t>
  </si>
  <si>
    <t>Subject list (helper)</t>
  </si>
  <si>
    <t>📊  Overall Progress</t>
  </si>
  <si>
    <t>Total topics</t>
  </si>
  <si>
    <t>Not Started</t>
  </si>
  <si>
    <t>In Progress</t>
  </si>
  <si>
    <t>Completed</t>
  </si>
  <si>
    <t>Overall  %  Complete</t>
  </si>
  <si>
    <t>Amber</t>
  </si>
  <si>
    <t>Red</t>
  </si>
  <si>
    <t>📚  Progress by Subject</t>
  </si>
  <si>
    <t>Subject</t>
  </si>
  <si>
    <t>Total Topics</t>
  </si>
  <si>
    <t>Green</t>
  </si>
  <si>
    <t>% Complete</t>
  </si>
  <si>
    <t>Last Revised</t>
  </si>
  <si>
    <t>Current Week:</t>
  </si>
  <si>
    <t>🎯 Today's Focus</t>
  </si>
  <si>
    <t xml:space="preserve">  Biology</t>
  </si>
  <si>
    <t>&lt; Return to Dashboard</t>
  </si>
  <si>
    <t>Topic</t>
  </si>
  <si>
    <t>Status</t>
  </si>
  <si>
    <t>Confidence</t>
  </si>
  <si>
    <t>Next Action</t>
  </si>
  <si>
    <t>General Notes</t>
  </si>
  <si>
    <r>
      <rPr>
        <b/>
        <sz val="11"/>
        <color theme="1"/>
        <rFont val="Calibri"/>
        <family val="2"/>
        <scheme val="minor"/>
      </rPr>
      <t>Group 1</t>
    </r>
    <r>
      <rPr>
        <sz val="11"/>
        <color theme="1"/>
        <rFont val="Calibri"/>
        <family val="2"/>
        <scheme val="minor"/>
      </rPr>
      <t>:
Characteristics of living organisms
Levels of organisation
Cell structure
Variety of living organisms</t>
    </r>
  </si>
  <si>
    <t>Alright we are done. First Bit of bio revision done :)</t>
  </si>
  <si>
    <t>Next session we are doing group 5 should be easy tho. Good luck</t>
  </si>
  <si>
    <r>
      <rPr>
        <b/>
        <sz val="11"/>
        <color rgb="FF000000"/>
        <rFont val="Calibri"/>
        <scheme val="minor"/>
      </rPr>
      <t xml:space="preserve">Group 2:
</t>
    </r>
    <r>
      <rPr>
        <sz val="11"/>
        <color rgb="FF000000"/>
        <rFont val="Calibri"/>
        <scheme val="minor"/>
      </rPr>
      <t>Movements of molecules
Biological molecules
Movement of substances</t>
    </r>
  </si>
  <si>
    <t>Chill session. Its all in the long term knowledge</t>
  </si>
  <si>
    <r>
      <rPr>
        <b/>
        <sz val="11"/>
        <color rgb="FF000000"/>
        <rFont val="Calibri"/>
        <scheme val="minor"/>
      </rPr>
      <t xml:space="preserve">Group 3:
</t>
    </r>
    <r>
      <rPr>
        <sz val="11"/>
        <color rgb="FF000000"/>
        <rFont val="Calibri"/>
        <scheme val="minor"/>
      </rPr>
      <t>Transport in plants
Nutrition in plants
Gas exchange in plants
Reproduction in plants</t>
    </r>
  </si>
  <si>
    <t>Chill session. everything is chill</t>
  </si>
  <si>
    <r>
      <rPr>
        <b/>
        <sz val="11"/>
        <color rgb="FF000000"/>
        <rFont val="Calibri"/>
        <scheme val="minor"/>
      </rPr>
      <t xml:space="preserve">Group 4:
</t>
    </r>
    <r>
      <rPr>
        <sz val="11"/>
        <color rgb="FF000000"/>
        <rFont val="Calibri"/>
        <scheme val="minor"/>
      </rPr>
      <t>Respiration
Gas exchange in humans</t>
    </r>
  </si>
  <si>
    <t>very easy. Bio mocks are gonna be free :) :) :)</t>
  </si>
  <si>
    <r>
      <rPr>
        <b/>
        <sz val="11"/>
        <color theme="1"/>
        <rFont val="Calibri"/>
        <family val="2"/>
        <scheme val="minor"/>
      </rPr>
      <t>Group 5</t>
    </r>
    <r>
      <rPr>
        <sz val="11"/>
        <color theme="1"/>
        <rFont val="Calibri"/>
        <family val="2"/>
        <scheme val="minor"/>
      </rPr>
      <t>:
Excretion
Human Reproduction</t>
    </r>
  </si>
  <si>
    <r>
      <rPr>
        <b/>
        <sz val="11"/>
        <color theme="1"/>
        <rFont val="Calibri"/>
        <family val="2"/>
        <scheme val="minor"/>
      </rPr>
      <t>Group 6:</t>
    </r>
    <r>
      <rPr>
        <sz val="11"/>
        <color theme="1"/>
        <rFont val="Calibri"/>
        <family val="2"/>
        <scheme val="minor"/>
      </rPr>
      <t xml:space="preserve">
Co-ordination and response
Transport in Humans
Nutrition in humans</t>
    </r>
  </si>
  <si>
    <r>
      <rPr>
        <b/>
        <sz val="11"/>
        <color theme="1"/>
        <rFont val="Calibri"/>
        <family val="2"/>
        <scheme val="minor"/>
      </rPr>
      <t xml:space="preserve">Group 7: </t>
    </r>
    <r>
      <rPr>
        <sz val="11"/>
        <color theme="1"/>
        <rFont val="Calibri"/>
        <family val="2"/>
        <scheme val="minor"/>
      </rPr>
      <t xml:space="preserve">
Inheritance
</t>
    </r>
  </si>
  <si>
    <t>EASY BRO. THIS WAS FREE</t>
  </si>
  <si>
    <r>
      <rPr>
        <b/>
        <sz val="11"/>
        <color theme="1"/>
        <rFont val="Calibri"/>
        <family val="2"/>
        <scheme val="minor"/>
      </rPr>
      <t xml:space="preserve">Group 8: </t>
    </r>
    <r>
      <rPr>
        <sz val="11"/>
        <color theme="1"/>
        <rFont val="Calibri"/>
        <family val="2"/>
        <scheme val="minor"/>
      </rPr>
      <t xml:space="preserve">
Organisms in the environment
Human Influences
Feeding relationships
Cycles within ecosystems</t>
    </r>
  </si>
  <si>
    <t xml:space="preserve">  Chemistry</t>
  </si>
  <si>
    <r>
      <rPr>
        <b/>
        <sz val="11"/>
        <color rgb="FF000000"/>
        <rFont val="Calibri"/>
      </rPr>
      <t xml:space="preserve">GROUP 1:
</t>
    </r>
    <r>
      <rPr>
        <sz val="11"/>
        <color rgb="FF000000"/>
        <rFont val="Calibri"/>
      </rPr>
      <t xml:space="preserve"> Principals of Chemistry  1a - 1e</t>
    </r>
  </si>
  <si>
    <t>Complete</t>
  </si>
  <si>
    <r>
      <rPr>
        <b/>
        <sz val="11"/>
        <color rgb="FF000000"/>
        <rFont val="Calibri"/>
        <scheme val="minor"/>
      </rPr>
      <t xml:space="preserve">GROUP 2: 
</t>
    </r>
    <r>
      <rPr>
        <sz val="11"/>
        <color rgb="FF000000"/>
        <rFont val="Calibri"/>
        <scheme val="minor"/>
      </rPr>
      <t>Bonding  1f - 1h</t>
    </r>
  </si>
  <si>
    <t>SO easy very chill</t>
  </si>
  <si>
    <r>
      <rPr>
        <b/>
        <sz val="11"/>
        <color rgb="FF000000"/>
        <rFont val="Calibri"/>
        <scheme val="minor"/>
      </rPr>
      <t xml:space="preserve">GROUP 3:
</t>
    </r>
    <r>
      <rPr>
        <sz val="11"/>
        <color rgb="FF000000"/>
        <rFont val="Calibri"/>
        <scheme val="minor"/>
      </rPr>
      <t>Inorganic Chem part 1 - 1a - 1d</t>
    </r>
  </si>
  <si>
    <t>calm. i know this stuff</t>
  </si>
  <si>
    <r>
      <rPr>
        <b/>
        <sz val="11"/>
        <color rgb="FF000000"/>
        <rFont val="Calibri"/>
        <scheme val="minor"/>
      </rPr>
      <t xml:space="preserve">GROUP 4:
</t>
    </r>
    <r>
      <rPr>
        <sz val="11"/>
        <color rgb="FF000000"/>
        <rFont val="Calibri"/>
        <scheme val="minor"/>
      </rPr>
      <t>Inorganic Chem part 2 - 1e - 1g</t>
    </r>
  </si>
  <si>
    <t>chill. there was a little friction but i smoothed it out and know the topic well</t>
  </si>
  <si>
    <r>
      <rPr>
        <b/>
        <sz val="11"/>
        <color rgb="FF000000"/>
        <rFont val="Calibri"/>
        <scheme val="minor"/>
      </rPr>
      <t xml:space="preserve">GROUP 5:
</t>
    </r>
    <r>
      <rPr>
        <sz val="11"/>
        <color rgb="FF000000"/>
        <rFont val="Calibri"/>
        <scheme val="minor"/>
      </rPr>
      <t>Energetics
Reversible reaction and equilbria</t>
    </r>
  </si>
  <si>
    <r>
      <rPr>
        <b/>
        <sz val="11"/>
        <color rgb="FF000000"/>
        <rFont val="Calibri"/>
        <scheme val="minor"/>
      </rPr>
      <t xml:space="preserve">GROUP 6:
</t>
    </r>
    <r>
      <rPr>
        <sz val="11"/>
        <color rgb="FF000000"/>
        <rFont val="Calibri"/>
        <scheme val="minor"/>
      </rPr>
      <t>Rates of Reaction</t>
    </r>
  </si>
  <si>
    <r>
      <rPr>
        <b/>
        <sz val="11"/>
        <color rgb="FF000000"/>
        <rFont val="Calibri"/>
        <scheme val="minor"/>
      </rPr>
      <t xml:space="preserve">GROUP 7:
</t>
    </r>
    <r>
      <rPr>
        <sz val="11"/>
        <color rgb="FF000000"/>
        <rFont val="Calibri"/>
        <scheme val="minor"/>
      </rPr>
      <t>y10 Organics 
Y11 Organics</t>
    </r>
  </si>
  <si>
    <t>Full mock past papers</t>
  </si>
  <si>
    <t xml:space="preserve">  Physics</t>
  </si>
  <si>
    <r>
      <rPr>
        <b/>
        <sz val="11"/>
        <color rgb="FF000000"/>
        <rFont val="Calibri"/>
        <scheme val="minor"/>
      </rPr>
      <t xml:space="preserve">GROUP 1:
</t>
    </r>
    <r>
      <rPr>
        <sz val="11"/>
        <color rgb="FF000000"/>
        <rFont val="Calibri"/>
        <scheme val="minor"/>
      </rPr>
      <t xml:space="preserve"> 9.1 Measuring waves
 10.1 Properties of waves &amp; EM Spectrum</t>
    </r>
  </si>
  <si>
    <t>When doing a review session just do a little chatgpt quiz to finish up the rest of this topic.</t>
  </si>
  <si>
    <t>Lets do GROUP 5 NEXT. HOPEFULLY ITS CHILL SPEND 1 HOUR ON THIS</t>
  </si>
  <si>
    <r>
      <rPr>
        <b/>
        <sz val="11"/>
        <color rgb="FF000000"/>
        <rFont val="Calibri"/>
        <scheme val="minor"/>
      </rPr>
      <t xml:space="preserve">GROUP 2:
</t>
    </r>
    <r>
      <rPr>
        <sz val="11"/>
        <color rgb="FF000000"/>
        <rFont val="Calibri"/>
        <scheme val="minor"/>
      </rPr>
      <t xml:space="preserve"> 9.2 Electrostatics and electrical current</t>
    </r>
  </si>
  <si>
    <t>Practise examination questions</t>
  </si>
  <si>
    <r>
      <rPr>
        <b/>
        <sz val="11"/>
        <color rgb="FF000000"/>
        <rFont val="Segoe UI"/>
      </rPr>
      <t xml:space="preserve">GROUP 3:
 </t>
    </r>
    <r>
      <rPr>
        <sz val="11"/>
        <color rgb="FF000000"/>
        <rFont val="Segoe UI"/>
      </rPr>
      <t>9.3 Mains electricity
 10.4 Electrical circuits</t>
    </r>
  </si>
  <si>
    <r>
      <rPr>
        <b/>
        <sz val="11"/>
        <color rgb="FF000000"/>
        <rFont val="Calibri"/>
      </rPr>
      <t xml:space="preserve">GROUP 4: 
</t>
    </r>
    <r>
      <rPr>
        <sz val="11"/>
        <color rgb="FF000000"/>
        <rFont val="Calibri"/>
      </rPr>
      <t>9.7 Energy types and energy resources
10.2 Energy transfer, work and power
9.4 Astronomy</t>
    </r>
  </si>
  <si>
    <t>It was chill just when you have time do some exam questions on it</t>
  </si>
  <si>
    <r>
      <rPr>
        <b/>
        <sz val="11"/>
        <color rgb="FF000000"/>
        <rFont val="Calibri"/>
      </rPr>
      <t xml:space="preserve">GROUP 5: 
</t>
    </r>
    <r>
      <rPr>
        <sz val="11"/>
        <color rgb="FF000000"/>
        <rFont val="Calibri"/>
      </rPr>
      <t>9.5 Measuring motion
10.3 Unbalanced forces and acceleration
10.7 Thermal energy and Change of State</t>
    </r>
  </si>
  <si>
    <r>
      <rPr>
        <b/>
        <sz val="11"/>
        <color rgb="FF000000"/>
        <rFont val="Calibri"/>
      </rPr>
      <t xml:space="preserve">GROUP 6: 
</t>
    </r>
    <r>
      <rPr>
        <sz val="11"/>
        <color rgb="FF000000"/>
        <rFont val="Calibri"/>
      </rPr>
      <t>9.6 Magnetism and electromagnets
10.6 Electromagnetism
11.2 Forces, Momentum &amp; Moments</t>
    </r>
  </si>
  <si>
    <r>
      <rPr>
        <b/>
        <sz val="11"/>
        <color rgb="FF000000"/>
        <rFont val="Calibri"/>
      </rPr>
      <t xml:space="preserve">GROUP 7: 
</t>
    </r>
    <r>
      <rPr>
        <sz val="11"/>
        <color rgb="FF000000"/>
        <rFont val="Calibri"/>
      </rPr>
      <t>9.8 Density and pressure
10.5 Pressure in Liquids and Ideal Gases
11.1 Radioactivity</t>
    </r>
  </si>
  <si>
    <t xml:space="preserve">  Mathematics</t>
  </si>
  <si>
    <t>Do Lots of Past Papers</t>
  </si>
  <si>
    <t xml:space="preserve"> Do the reasoning paper on onenote and make sure you know all the topics
SHOULD BE A VERY LIGHT SESSION</t>
  </si>
  <si>
    <t xml:space="preserve">  English Language</t>
  </si>
  <si>
    <r>
      <rPr>
        <b/>
        <sz val="11"/>
        <color rgb="FF000000"/>
        <rFont val="Calibri"/>
        <scheme val="minor"/>
      </rPr>
      <t>Between A Rock &amp; Hard Place</t>
    </r>
    <r>
      <rPr>
        <sz val="11"/>
        <color rgb="FF000000"/>
        <rFont val="Calibri"/>
        <scheme val="minor"/>
      </rPr>
      <t xml:space="preserve"> Annotation and practise questions</t>
    </r>
  </si>
  <si>
    <r>
      <rPr>
        <b/>
        <sz val="11"/>
        <color theme="1"/>
        <rFont val="Calibri"/>
        <family val="2"/>
        <scheme val="minor"/>
      </rPr>
      <t xml:space="preserve">Explorers, or boys messing about: </t>
    </r>
    <r>
      <rPr>
        <sz val="11"/>
        <color theme="1"/>
        <rFont val="Calibri"/>
        <family val="2"/>
        <scheme val="minor"/>
      </rPr>
      <t xml:space="preserve"> annotation and practise questions</t>
    </r>
  </si>
  <si>
    <t xml:space="preserve">
</t>
  </si>
  <si>
    <r>
      <rPr>
        <b/>
        <sz val="11"/>
        <color theme="1"/>
        <rFont val="Calibri"/>
        <family val="2"/>
        <scheme val="minor"/>
      </rPr>
      <t>Bhutan: Beyond the sky &amp; earth</t>
    </r>
    <r>
      <rPr>
        <sz val="11"/>
        <color theme="1"/>
        <rFont val="Calibri"/>
        <family val="2"/>
        <scheme val="minor"/>
      </rPr>
      <t xml:space="preserve"> Annotation and practise questions</t>
    </r>
  </si>
  <si>
    <r>
      <rPr>
        <b/>
        <sz val="11"/>
        <color theme="1"/>
        <rFont val="Calibri"/>
        <family val="2"/>
        <scheme val="minor"/>
      </rPr>
      <t>The Danger of a single story</t>
    </r>
    <r>
      <rPr>
        <sz val="11"/>
        <color theme="1"/>
        <rFont val="Calibri"/>
        <family val="2"/>
        <scheme val="minor"/>
      </rPr>
      <t xml:space="preserve"> annotation and practise questions</t>
    </r>
  </si>
  <si>
    <r>
      <rPr>
        <b/>
        <sz val="11"/>
        <color theme="1"/>
        <rFont val="Calibri"/>
        <family val="2"/>
        <scheme val="minor"/>
      </rPr>
      <t>Young and dyslexic? You've got it going on</t>
    </r>
    <r>
      <rPr>
        <sz val="11"/>
        <color theme="1"/>
        <rFont val="Calibri"/>
        <family val="2"/>
        <scheme val="minor"/>
      </rPr>
      <t xml:space="preserve"> annotation and practise questions</t>
    </r>
  </si>
  <si>
    <t>Transactional Writing Practise: Leaflet text</t>
  </si>
  <si>
    <t>Transactional Writing Practise: Magazine article</t>
  </si>
  <si>
    <t>Transactional Writing Practise: Guide</t>
  </si>
  <si>
    <t>Transactional Writing Practise: Letter</t>
  </si>
  <si>
    <t>Past paper practise</t>
  </si>
  <si>
    <t>1. plan that 22 marker. Use chatgpt for help
2. then write the 22 marker</t>
  </si>
  <si>
    <t xml:space="preserve">  English Literature</t>
  </si>
  <si>
    <t>Quotations and meaning for VFAB Characters - Eddie, Alfieri, Catherine, Rodolfo</t>
  </si>
  <si>
    <t>1. finish of the quotations for Catherine and Rodolfo
2. then get a quick overview on R+J and then revise the themes</t>
  </si>
  <si>
    <t>VFAB - Themes:  
1. Different views of loyalty and honour
2. Different views of justice
3. Transition and change</t>
  </si>
  <si>
    <t>Just pray we get this 7 in english lit</t>
  </si>
  <si>
    <t>Practise planning and writing essays for VFAB</t>
  </si>
  <si>
    <t>Quotations and meaning for Romeo &amp; Juliet characters - Eddie, Alfieri, Catherine, Rodolfo</t>
  </si>
  <si>
    <t>Romeo and Juliet: Revise themes:
 ❤️ Love and romance
👑 Power and control
🕊️ Hope and forgiveness</t>
  </si>
  <si>
    <t>Practise planning and writing essays for R&amp;J</t>
  </si>
  <si>
    <t xml:space="preserve">  Geography</t>
  </si>
  <si>
    <t>Hazards</t>
  </si>
  <si>
    <t>1. breifly look at weaknesses
2. complete 8 marker on hazards
2. Complete coast section
3. highlight weaknesses in coasts section and then go over them
4. if time do the coasts 8 marker (I highly doubt we will get to this)</t>
  </si>
  <si>
    <t xml:space="preserve">
WEAKNESSES:
1. Tropical storm formation
2. eathquakes forming tsunamis
3. just take a brief look at vulnerabilty but its chill</t>
  </si>
  <si>
    <t>Economic Activity &amp; energy</t>
  </si>
  <si>
    <t>Coasts</t>
  </si>
  <si>
    <t>Coastal Fieldwork</t>
  </si>
  <si>
    <t>Urban Environments</t>
  </si>
  <si>
    <t xml:space="preserve">This section is done. Next time you revise practise 8 markers and also do flashcards if possible. </t>
  </si>
  <si>
    <t xml:space="preserve">  History</t>
  </si>
  <si>
    <t>America 1918 - 1941</t>
  </si>
  <si>
    <t>1. Do the 8 marker on the New Deal
2. Do the 6 marker on Huey Long
3. MOVE ON TO CIVIL RIGHTS</t>
  </si>
  <si>
    <t>US Civil Rights</t>
  </si>
  <si>
    <t>BLITZ THROUGH THE WHOLE CIVIL RIGHTS ON CHATGPT.
NO QUESTIONS JUST PURE KNOWLEDGE ABSORBTION
YOU MUST COMPLETE THIS IN THE NEXT SESSION</t>
  </si>
  <si>
    <t>History of Medicine</t>
  </si>
  <si>
    <t xml:space="preserve">  Spanish</t>
  </si>
  <si>
    <t>Do reading papers</t>
  </si>
  <si>
    <t xml:space="preserve">Next session do this:
1. finish reading paper while writing words we don't know in the quizlet
2. at the end if time do the quizlet
</t>
  </si>
  <si>
    <t>After you finish that reading paper we are gonna do a writing paper and practise that.</t>
  </si>
  <si>
    <t>Do writing papers</t>
  </si>
  <si>
    <t>Do listening papers</t>
  </si>
  <si>
    <t>practise for oral</t>
  </si>
  <si>
    <t xml:space="preserve">  Computer Science</t>
  </si>
  <si>
    <r>
      <rPr>
        <b/>
        <sz val="11"/>
        <color rgb="FF000000"/>
        <rFont val="Calibri"/>
        <scheme val="minor"/>
      </rPr>
      <t xml:space="preserve">GROUP 1:
</t>
    </r>
    <r>
      <rPr>
        <sz val="11"/>
        <color rgb="FF000000"/>
        <rFont val="Calibri"/>
        <scheme val="minor"/>
      </rPr>
      <t>1.1 - Systems Architecture
1.2 - Memory and storage</t>
    </r>
  </si>
  <si>
    <t>Next up we are doing group 1 and group 3. 
Read up notes on pmt or chatgpt. then do a big chatgpt quiz. Shouldn't be too difficult</t>
  </si>
  <si>
    <r>
      <rPr>
        <b/>
        <sz val="11"/>
        <color rgb="FF000000"/>
        <rFont val="Calibri"/>
        <scheme val="minor"/>
      </rPr>
      <t xml:space="preserve">GROUP 2:
</t>
    </r>
    <r>
      <rPr>
        <sz val="11"/>
        <color rgb="FF000000"/>
        <rFont val="Calibri"/>
        <scheme val="minor"/>
      </rPr>
      <t>1.3 - Computer networks, connections and protocols 
1.4 - Network security</t>
    </r>
  </si>
  <si>
    <r>
      <rPr>
        <b/>
        <sz val="11"/>
        <color rgb="FF000000"/>
        <rFont val="Calibri"/>
        <scheme val="minor"/>
      </rPr>
      <t xml:space="preserve">GROUP 3:
</t>
    </r>
    <r>
      <rPr>
        <sz val="11"/>
        <color rgb="FF000000"/>
        <rFont val="Calibri"/>
        <scheme val="minor"/>
      </rPr>
      <t>1.5 - Systems software</t>
    </r>
  </si>
  <si>
    <r>
      <rPr>
        <b/>
        <sz val="11"/>
        <color rgb="FF000000"/>
        <rFont val="Calibri"/>
        <scheme val="minor"/>
      </rPr>
      <t xml:space="preserve">GROUP 4:
</t>
    </r>
    <r>
      <rPr>
        <sz val="11"/>
        <color rgb="FF000000"/>
        <rFont val="Calibri"/>
        <scheme val="minor"/>
      </rPr>
      <t>1.6 - Ethical, legal, cultural and environmental impacts of digital technology</t>
    </r>
  </si>
  <si>
    <t>Okay so this topic isn't perfect so we're gonna have to come back to it in some time.</t>
  </si>
  <si>
    <r>
      <rPr>
        <b/>
        <sz val="11"/>
        <color rgb="FF000000"/>
        <rFont val="Calibri"/>
        <scheme val="minor"/>
      </rPr>
      <t xml:space="preserve">GROUP 5 :
</t>
    </r>
    <r>
      <rPr>
        <sz val="11"/>
        <color rgb="FF000000"/>
        <rFont val="Calibri"/>
        <scheme val="minor"/>
      </rPr>
      <t>2.1 - Algorithms
2.2 - Programming fundamentals</t>
    </r>
  </si>
  <si>
    <t>coding stuff is fine. just nearer to the exam make sure you're good on merge and insertion sort.</t>
  </si>
  <si>
    <t xml:space="preserve">
Otherwise all good.
and also make sure you know what abstraction and decomposition are</t>
  </si>
  <si>
    <r>
      <rPr>
        <b/>
        <sz val="11"/>
        <color rgb="FF000000"/>
        <rFont val="Calibri"/>
        <scheme val="minor"/>
      </rPr>
      <t xml:space="preserve">GROUP 6:
</t>
    </r>
    <r>
      <rPr>
        <sz val="11"/>
        <color rgb="FF000000"/>
        <rFont val="Calibri"/>
        <scheme val="minor"/>
      </rPr>
      <t>Full exam papers</t>
    </r>
  </si>
  <si>
    <t>⚙  Settings</t>
  </si>
  <si>
    <t>Review intervals — how many days until a topic comes back</t>
  </si>
  <si>
    <t>Interval (days)</t>
  </si>
  <si>
    <t>Not Assessed</t>
  </si>
  <si>
    <t>—</t>
  </si>
  <si>
    <t>Edit the interval numbers in column C to change how often topics come back.</t>
  </si>
  <si>
    <t>Next session is GROUP 5. you need to get this section done in whole. Doesn't matter if you go over an hour just finish it.
1. Read the notes for both on onenote then bang out questions for them also on onenote. Should be chill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</si>
</sst>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41" x14ac:knownFonts="1">
    <font>
      <sz val="11"/>
      <color theme="1"/>
      <name val="Calibri"/>
      <family val="2"/>
      <scheme val="minor"/>
    </font>
    <font>
      <b/>
      <sz val="22"/>
      <color rgb="FF1F3864"/>
      <name val="Calibri"/>
    </font>
    <font>
      <b/>
      <sz val="14"/>
      <color rgb="FF1F3864"/>
      <name val="Calibri"/>
    </font>
    <font>
      <b/>
      <sz val="12"/>
      <color rgb="FFFFFFFF"/>
      <name val="Calibri"/>
    </font>
    <font>
      <b/>
      <sz val="11"/>
      <name val="Calibri"/>
    </font>
    <font>
      <i/>
      <sz val="10"/>
      <color rgb="FF555555"/>
      <name val="Calibri"/>
    </font>
    <font>
      <b/>
      <sz val="18"/>
      <color rgb="FFFFFFFF"/>
      <name val="Calibri"/>
    </font>
    <font>
      <b/>
      <sz val="22"/>
      <color rgb="FFFFFFFF"/>
      <name val="Calibri"/>
    </font>
    <font>
      <b/>
      <sz val="11"/>
      <color rgb="FF333333"/>
      <name val="Calibri"/>
    </font>
    <font>
      <b/>
      <sz val="20"/>
      <color rgb="FF1F3864"/>
      <name val="Calibri"/>
    </font>
    <font>
      <b/>
      <sz val="18"/>
      <color rgb="FFFFFFFF"/>
      <name val="Calibri"/>
      <family val="2"/>
    </font>
    <font>
      <b/>
      <sz val="11"/>
      <color theme="1"/>
      <name val="Calibri"/>
      <family val="2"/>
      <scheme val="minor"/>
    </font>
    <font>
      <sz val="11"/>
      <color rgb="FF000000"/>
      <name val="Calibri"/>
      <family val="2"/>
      <scheme val="minor"/>
    </font>
    <font>
      <b/>
      <sz val="11"/>
      <color rgb="FF000000"/>
      <name val="Calibri"/>
      <family val="2"/>
      <scheme val="minor"/>
    </font>
    <font>
      <u/>
      <sz val="11"/>
      <color theme="10"/>
      <name val="Calibri"/>
      <family val="2"/>
      <scheme val="minor"/>
    </font>
    <font>
      <b/>
      <sz val="11"/>
      <color rgb="FF3B3B3B"/>
      <name val="Calibri"/>
      <family val="2"/>
      <scheme val="minor"/>
    </font>
    <font>
      <sz val="11"/>
      <color theme="0"/>
      <name val="Calibri"/>
      <family val="2"/>
      <scheme val="minor"/>
    </font>
    <font>
      <b/>
      <sz val="12"/>
      <color rgb="FF000000"/>
      <name val="Calibri"/>
      <family val="2"/>
    </font>
    <font>
      <b/>
      <sz val="12"/>
      <color rgb="FF000000"/>
      <name val="Calibri"/>
      <family val="2"/>
      <scheme val="minor"/>
    </font>
    <font>
      <i/>
      <sz val="10"/>
      <color rgb="FFDC3232"/>
      <name val="Calibri"/>
      <family val="2"/>
      <scheme val="minor"/>
    </font>
    <font>
      <i/>
      <sz val="10"/>
      <color rgb="FFDC3232"/>
      <name val="Calibri"/>
      <scheme val="minor"/>
    </font>
    <font>
      <b/>
      <sz val="11"/>
      <color rgb="FF000000"/>
      <name val="Calibri"/>
      <scheme val="minor"/>
    </font>
    <font>
      <sz val="11"/>
      <color rgb="FF000000"/>
      <name val="Calibri"/>
      <scheme val="minor"/>
    </font>
    <font>
      <b/>
      <sz val="11"/>
      <color rgb="FFFFFFFF"/>
      <name val="Calibri"/>
      <family val="2"/>
      <scheme val="minor"/>
    </font>
    <font>
      <b/>
      <sz val="14"/>
      <color rgb="FF1F4E78"/>
      <name val="Calibri"/>
      <family val="2"/>
      <scheme val="minor"/>
    </font>
    <font>
      <sz val="11"/>
      <color theme="1"/>
      <name val="Segoe UI"/>
      <family val="2"/>
    </font>
    <font>
      <b/>
      <sz val="11"/>
      <color theme="1"/>
      <name val="Segoe UI"/>
      <family val="2"/>
    </font>
    <font>
      <b/>
      <sz val="16"/>
      <color rgb="FF1F4E78"/>
      <name val="Calibri"/>
      <family val="2"/>
      <scheme val="minor"/>
    </font>
    <font>
      <sz val="11"/>
      <color rgb="FFFFFFFF"/>
      <name val="Calibri"/>
      <family val="2"/>
      <scheme val="minor"/>
    </font>
    <font>
      <sz val="1"/>
      <color rgb="FFFFFFFF"/>
      <name val="Calibri"/>
      <family val="2"/>
      <scheme val="minor"/>
    </font>
    <font>
      <b/>
      <sz val="12"/>
      <color rgb="FF000000"/>
      <name val="Segoe UI"/>
      <family val="2"/>
    </font>
    <font>
      <sz val="11"/>
      <color rgb="FF3B3B3B"/>
      <name val="Segoe UI"/>
      <family val="2"/>
    </font>
    <font>
      <b/>
      <sz val="11"/>
      <color rgb="FF000000"/>
      <name val="Segoe UI"/>
    </font>
    <font>
      <sz val="11"/>
      <color rgb="FF000000"/>
      <name val="Segoe UI"/>
    </font>
    <font>
      <b/>
      <sz val="11"/>
      <color rgb="FF000000"/>
      <name val="Calibri"/>
    </font>
    <font>
      <sz val="11"/>
      <color rgb="FF000000"/>
      <name val="Calibri"/>
    </font>
    <font>
      <sz val="11"/>
      <color rgb="FF000000"/>
      <name val="Calibri"/>
      <charset val="1"/>
    </font>
    <font>
      <b/>
      <sz val="20"/>
      <color theme="1"/>
      <name val="Calibri"/>
      <family val="2"/>
      <scheme val="minor"/>
    </font>
    <font>
      <b/>
      <sz val="11"/>
      <color rgb="FF333333"/>
      <name val="Calibri"/>
      <family val="2"/>
    </font>
    <font>
      <b/>
      <sz val="11"/>
      <color rgb="FF1F4E78"/>
      <name val="Calibri"/>
      <family val="2"/>
      <scheme val="minor"/>
    </font>
    <font>
      <b/>
      <sz val="14"/>
      <color theme="1"/>
      <name val="Calibri"/>
      <family val="2"/>
      <scheme val="minor"/>
    </font>
  </fonts>
  <fills count="21">
    <fill>
      <patternFill patternType="none"/>
    </fill>
    <fill>
      <patternFill patternType="gray125"/>
    </fill>
    <fill>
      <patternFill patternType="solid">
        <fgColor rgb="FF1F3864"/>
      </patternFill>
    </fill>
    <fill>
      <patternFill patternType="solid">
        <fgColor rgb="FFF8B6B6"/>
      </patternFill>
    </fill>
    <fill>
      <patternFill patternType="solid">
        <fgColor rgb="FFFFE699"/>
      </patternFill>
    </fill>
    <fill>
      <patternFill patternType="solid">
        <fgColor rgb="FFC6EFCE"/>
      </patternFill>
    </fill>
    <fill>
      <patternFill patternType="solid">
        <fgColor rgb="FFE7E6E6"/>
      </patternFill>
    </fill>
    <fill>
      <patternFill patternType="solid">
        <fgColor rgb="FF2E75B6"/>
      </patternFill>
    </fill>
    <fill>
      <patternFill patternType="solid">
        <fgColor rgb="FFF2F6FB"/>
      </patternFill>
    </fill>
    <fill>
      <patternFill patternType="solid">
        <fgColor rgb="FFCFE2F3"/>
      </patternFill>
    </fill>
    <fill>
      <patternFill patternType="solid">
        <fgColor rgb="FFF9F9F9"/>
        <bgColor indexed="64"/>
      </patternFill>
    </fill>
    <fill>
      <patternFill patternType="solid">
        <fgColor rgb="FFFFFFFF"/>
        <bgColor indexed="64"/>
      </patternFill>
    </fill>
    <fill>
      <patternFill patternType="solid">
        <fgColor theme="8"/>
      </patternFill>
    </fill>
    <fill>
      <patternFill patternType="solid">
        <fgColor rgb="FFCFE2F3"/>
        <bgColor indexed="64"/>
      </patternFill>
    </fill>
    <fill>
      <patternFill patternType="solid">
        <fgColor rgb="FF1F4E78"/>
        <bgColor indexed="64"/>
      </patternFill>
    </fill>
    <fill>
      <patternFill patternType="solid">
        <fgColor rgb="FFF0F8FF"/>
        <bgColor indexed="64"/>
      </patternFill>
    </fill>
    <fill>
      <patternFill patternType="solid">
        <fgColor rgb="FFE2EFDA"/>
        <bgColor indexed="64"/>
      </patternFill>
    </fill>
    <fill>
      <patternFill patternType="solid">
        <fgColor rgb="FFBDD7EE"/>
        <bgColor indexed="64"/>
      </patternFill>
    </fill>
    <fill>
      <patternFill patternType="solid">
        <fgColor rgb="FFD9EAD3"/>
        <bgColor indexed="64"/>
      </patternFill>
    </fill>
    <fill>
      <patternFill patternType="solid">
        <fgColor rgb="FFFFF2CC"/>
        <bgColor indexed="64"/>
      </patternFill>
    </fill>
    <fill>
      <patternFill patternType="solid">
        <fgColor rgb="FFF4CCCC"/>
        <bgColor indexed="64"/>
      </patternFill>
    </fill>
  </fills>
  <borders count="19">
    <border>
      <left/>
      <right/>
      <top/>
      <bottom/>
      <diagonal/>
    </border>
    <border>
      <left style="thin">
        <color rgb="FFBFD4EA"/>
      </left>
      <right style="thin">
        <color rgb="FFBFD4EA"/>
      </right>
      <top style="thin">
        <color rgb="FFBFD4EA"/>
      </top>
      <bottom style="medium">
        <color rgb="FF1F3864"/>
      </bottom>
      <diagonal/>
    </border>
    <border>
      <left/>
      <right style="thin">
        <color rgb="FFBFD4EA"/>
      </right>
      <top style="thin">
        <color rgb="FFBFD4EA"/>
      </top>
      <bottom style="medium">
        <color rgb="FF1F3864"/>
      </bottom>
      <diagonal/>
    </border>
    <border>
      <left style="thin">
        <color rgb="FFBFD4EA"/>
      </left>
      <right style="thin">
        <color rgb="FFBFD4EA"/>
      </right>
      <top style="thin">
        <color rgb="FFBFD4EA"/>
      </top>
      <bottom style="thin">
        <color rgb="FFBFD4EA"/>
      </bottom>
      <diagonal/>
    </border>
    <border>
      <left style="thin">
        <color rgb="FFDCDCDC"/>
      </left>
      <right style="thin">
        <color rgb="FFDCDCDC"/>
      </right>
      <top style="thin">
        <color rgb="FFDCDCDC"/>
      </top>
      <bottom style="thin">
        <color rgb="FFDCDCDC"/>
      </bottom>
      <diagonal/>
    </border>
    <border>
      <left style="thin">
        <color rgb="FFBFD4EA"/>
      </left>
      <right/>
      <top style="thin">
        <color rgb="FFBFD4EA"/>
      </top>
      <bottom style="thin">
        <color rgb="FFBFD4EA"/>
      </bottom>
      <diagonal/>
    </border>
    <border>
      <left style="thin">
        <color rgb="FFBDD7EE"/>
      </left>
      <right style="thin">
        <color rgb="FFBDD7EE"/>
      </right>
      <top style="thin">
        <color rgb="FFBDD7EE"/>
      </top>
      <bottom style="thin">
        <color rgb="FFBDD7EE"/>
      </bottom>
      <diagonal/>
    </border>
    <border>
      <left style="thin">
        <color rgb="FFBDD7EE"/>
      </left>
      <right style="thin">
        <color rgb="FFBDD7EE"/>
      </right>
      <top style="thin">
        <color rgb="FFBDD7EE"/>
      </top>
      <bottom/>
      <diagonal/>
    </border>
    <border>
      <left style="thin">
        <color rgb="FFDCDCDC"/>
      </left>
      <right/>
      <top/>
      <bottom/>
      <diagonal/>
    </border>
    <border>
      <left/>
      <right style="thin">
        <color rgb="FFDCDCDC"/>
      </right>
      <top/>
      <bottom/>
      <diagonal/>
    </border>
    <border>
      <left style="thin">
        <color rgb="FFDCDCDC"/>
      </left>
      <right/>
      <top style="thin">
        <color rgb="FFDCDCDC"/>
      </top>
      <bottom style="thin">
        <color rgb="FFDCDCDC"/>
      </bottom>
      <diagonal/>
    </border>
    <border>
      <left/>
      <right style="thin">
        <color rgb="FFDCDCDC"/>
      </right>
      <top style="thin">
        <color rgb="FFDCDCDC"/>
      </top>
      <bottom style="thin">
        <color rgb="FFDCDCDC"/>
      </bottom>
      <diagonal/>
    </border>
    <border>
      <left style="thin">
        <color rgb="FFDCDCDC"/>
      </left>
      <right style="thin">
        <color rgb="FFDCDCDC"/>
      </right>
      <top style="thin">
        <color rgb="FFDCDCDC"/>
      </top>
      <bottom/>
      <diagonal/>
    </border>
    <border>
      <left/>
      <right/>
      <top style="thin">
        <color rgb="FFBFD4EA"/>
      </top>
      <bottom style="medium">
        <color rgb="FF1F3864"/>
      </bottom>
      <diagonal/>
    </border>
    <border>
      <left/>
      <right style="thin">
        <color rgb="FFBFD4EA"/>
      </right>
      <top style="thin">
        <color rgb="FFBFD4EA"/>
      </top>
      <bottom style="thin">
        <color rgb="FFBFD4EA"/>
      </bottom>
      <diagonal/>
    </border>
    <border>
      <left style="thin">
        <color rgb="FFBFD4EA"/>
      </left>
      <right/>
      <top style="thin">
        <color rgb="FFBFD4EA"/>
      </top>
      <bottom style="thin">
        <color rgb="FF1F4E78"/>
      </bottom>
      <diagonal/>
    </border>
    <border>
      <left/>
      <right/>
      <top style="thin">
        <color rgb="FFBFD4EA"/>
      </top>
      <bottom style="thin">
        <color rgb="FF1F4E78"/>
      </bottom>
      <diagonal/>
    </border>
    <border>
      <left/>
      <right/>
      <top style="thin">
        <color rgb="FF1F4E78"/>
      </top>
      <bottom/>
      <diagonal/>
    </border>
    <border>
      <left/>
      <right/>
      <top/>
      <bottom style="thin">
        <color rgb="FF1F4E78"/>
      </bottom>
      <diagonal/>
    </border>
  </borders>
  <cellStyleXfs count="3">
    <xf numFmtId="0" fontId="0" fillId="0" borderId="0"/>
    <xf numFmtId="0" fontId="14" fillId="0" borderId="0" applyNumberFormat="0" applyFill="0" applyBorder="0" applyAlignment="0" applyProtection="0"/>
    <xf numFmtId="0" fontId="16" fillId="12" borderId="0" applyNumberFormat="0" applyBorder="0" applyAlignment="0" applyProtection="0"/>
  </cellStyleXfs>
  <cellXfs count="90">
    <xf numFmtId="0" fontId="0" fillId="0" borderId="0" xfId="0"/>
    <xf numFmtId="0" fontId="0" fillId="0" borderId="0" xfId="0" applyAlignment="1">
      <alignment wrapText="1"/>
    </xf>
    <xf numFmtId="0" fontId="0" fillId="0" borderId="3" xfId="0" applyBorder="1" applyAlignment="1">
      <alignment horizontal="left" vertical="center"/>
    </xf>
    <xf numFmtId="0" fontId="0" fillId="0" borderId="3" xfId="0" applyBorder="1" applyAlignment="1">
      <alignment horizontal="center" vertical="center"/>
    </xf>
    <xf numFmtId="14" fontId="0" fillId="0" borderId="3" xfId="0" applyNumberFormat="1" applyBorder="1" applyAlignment="1">
      <alignment horizontal="center" vertical="center"/>
    </xf>
    <xf numFmtId="0" fontId="8" fillId="8" borderId="3" xfId="0" applyFont="1" applyFill="1" applyBorder="1" applyAlignment="1">
      <alignment horizontal="center" vertical="center"/>
    </xf>
    <xf numFmtId="0" fontId="3" fillId="7" borderId="3" xfId="0" applyFont="1" applyFill="1" applyBorder="1" applyAlignment="1">
      <alignment horizontal="center" vertical="center"/>
    </xf>
    <xf numFmtId="0" fontId="3" fillId="7" borderId="3" xfId="0" applyFont="1" applyFill="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wrapText="1"/>
    </xf>
    <xf numFmtId="0" fontId="3" fillId="2" borderId="3" xfId="0" applyFont="1" applyFill="1" applyBorder="1" applyAlignment="1">
      <alignment horizontal="center" vertical="center"/>
    </xf>
    <xf numFmtId="0" fontId="4" fillId="3" borderId="3" xfId="0" applyFont="1" applyFill="1" applyBorder="1" applyAlignment="1">
      <alignment horizontal="center" vertical="center"/>
    </xf>
    <xf numFmtId="0" fontId="4"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6" borderId="3" xfId="0" applyFont="1" applyFill="1" applyBorder="1" applyAlignment="1">
      <alignment horizontal="center" vertical="center"/>
    </xf>
    <xf numFmtId="14" fontId="0" fillId="0" borderId="0" xfId="0" applyNumberFormat="1" applyAlignment="1">
      <alignment wrapText="1"/>
    </xf>
    <xf numFmtId="14" fontId="3" fillId="7" borderId="3" xfId="0" applyNumberFormat="1" applyFont="1" applyFill="1" applyBorder="1" applyAlignment="1">
      <alignment horizontal="center" vertical="center" wrapText="1"/>
    </xf>
    <xf numFmtId="14" fontId="0" fillId="0" borderId="0" xfId="0" applyNumberFormat="1"/>
    <xf numFmtId="14" fontId="3" fillId="7" borderId="3" xfId="0" applyNumberFormat="1" applyFont="1" applyFill="1" applyBorder="1" applyAlignment="1">
      <alignment horizontal="center" vertical="center"/>
    </xf>
    <xf numFmtId="0" fontId="12" fillId="0" borderId="3" xfId="0" applyFont="1" applyBorder="1" applyAlignment="1">
      <alignment horizontal="left" vertical="center" wrapText="1"/>
    </xf>
    <xf numFmtId="164" fontId="0" fillId="0" borderId="3" xfId="0" applyNumberFormat="1" applyBorder="1" applyAlignment="1">
      <alignment horizontal="center" vertical="center" wrapText="1"/>
    </xf>
    <xf numFmtId="0" fontId="15" fillId="10" borderId="4" xfId="1" applyFont="1" applyFill="1" applyBorder="1" applyAlignment="1">
      <alignment horizontal="center" vertical="center"/>
    </xf>
    <xf numFmtId="0" fontId="0" fillId="10" borderId="4" xfId="0" applyFill="1" applyBorder="1" applyAlignment="1">
      <alignment horizontal="center" vertical="center"/>
    </xf>
    <xf numFmtId="0" fontId="15" fillId="11" borderId="4" xfId="1" applyFont="1" applyFill="1" applyBorder="1" applyAlignment="1">
      <alignment horizontal="center" vertical="center"/>
    </xf>
    <xf numFmtId="0" fontId="0" fillId="11" borderId="4" xfId="0" applyFill="1" applyBorder="1" applyAlignment="1">
      <alignment horizontal="center" vertical="center"/>
    </xf>
    <xf numFmtId="0" fontId="13" fillId="13" borderId="4" xfId="2" applyFont="1" applyFill="1" applyBorder="1" applyAlignment="1">
      <alignment horizontal="center" vertical="center"/>
    </xf>
    <xf numFmtId="0" fontId="17" fillId="13" borderId="4" xfId="0" applyFont="1" applyFill="1" applyBorder="1" applyAlignment="1">
      <alignment horizontal="center" vertical="center"/>
    </xf>
    <xf numFmtId="0" fontId="19" fillId="0" borderId="0" xfId="1" applyFont="1" applyAlignment="1">
      <alignment horizontal="left" wrapText="1" indent="1"/>
    </xf>
    <xf numFmtId="0" fontId="20" fillId="0" borderId="0" xfId="1" applyFont="1" applyAlignment="1">
      <alignment horizontal="left" indent="1"/>
    </xf>
    <xf numFmtId="0" fontId="19" fillId="0" borderId="0" xfId="1" applyFont="1" applyAlignment="1">
      <alignment horizontal="left" indent="1"/>
    </xf>
    <xf numFmtId="0" fontId="22" fillId="0" borderId="3" xfId="0" applyFont="1" applyBorder="1" applyAlignment="1">
      <alignment horizontal="left" vertical="center" wrapText="1"/>
    </xf>
    <xf numFmtId="0" fontId="23" fillId="14" borderId="0" xfId="0" applyFont="1" applyFill="1" applyAlignment="1">
      <alignment horizontal="center" vertical="center" wrapText="1"/>
    </xf>
    <xf numFmtId="0" fontId="0" fillId="0" borderId="5" xfId="0" applyBorder="1" applyAlignment="1">
      <alignment horizontal="left" vertical="center" wrapText="1"/>
    </xf>
    <xf numFmtId="0" fontId="12" fillId="11" borderId="6" xfId="0" applyFont="1" applyFill="1" applyBorder="1" applyAlignment="1">
      <alignment vertical="top" wrapText="1"/>
    </xf>
    <xf numFmtId="0" fontId="12" fillId="11" borderId="7" xfId="0" applyFont="1" applyFill="1" applyBorder="1" applyAlignment="1">
      <alignment vertical="top" wrapText="1"/>
    </xf>
    <xf numFmtId="0" fontId="23" fillId="14" borderId="0" xfId="0" applyFont="1" applyFill="1" applyAlignment="1">
      <alignment horizontal="center" vertical="center"/>
    </xf>
    <xf numFmtId="0" fontId="0" fillId="0" borderId="5" xfId="0" applyBorder="1" applyAlignment="1">
      <alignment horizontal="left" vertical="center"/>
    </xf>
    <xf numFmtId="0" fontId="24" fillId="0" borderId="0" xfId="0" applyFont="1"/>
    <xf numFmtId="0" fontId="26" fillId="13" borderId="4" xfId="0" applyFont="1" applyFill="1" applyBorder="1" applyAlignment="1">
      <alignment horizontal="center"/>
    </xf>
    <xf numFmtId="0" fontId="25" fillId="11" borderId="4" xfId="0" applyFont="1" applyFill="1" applyBorder="1" applyAlignment="1">
      <alignment horizontal="left"/>
    </xf>
    <xf numFmtId="0" fontId="25" fillId="10" borderId="4" xfId="0" applyFont="1" applyFill="1" applyBorder="1" applyAlignment="1">
      <alignment horizontal="left"/>
    </xf>
    <xf numFmtId="0" fontId="28" fillId="0" borderId="0" xfId="0" applyFont="1"/>
    <xf numFmtId="0" fontId="29" fillId="0" borderId="0" xfId="0" applyFont="1"/>
    <xf numFmtId="0" fontId="11" fillId="0" borderId="0" xfId="0" applyFont="1" applyAlignment="1">
      <alignment horizontal="center"/>
    </xf>
    <xf numFmtId="0" fontId="17" fillId="13" borderId="10" xfId="0" applyFont="1" applyFill="1" applyBorder="1" applyAlignment="1">
      <alignment horizontal="center" vertical="center"/>
    </xf>
    <xf numFmtId="0" fontId="18" fillId="13" borderId="11" xfId="0" applyFont="1" applyFill="1" applyBorder="1" applyAlignment="1">
      <alignment horizontal="center" vertical="center"/>
    </xf>
    <xf numFmtId="0" fontId="0" fillId="10" borderId="10" xfId="0" applyFill="1" applyBorder="1" applyAlignment="1">
      <alignment horizontal="center" vertical="center"/>
    </xf>
    <xf numFmtId="0" fontId="15" fillId="10" borderId="11" xfId="0" applyFont="1" applyFill="1" applyBorder="1" applyAlignment="1">
      <alignment horizontal="center" vertical="center"/>
    </xf>
    <xf numFmtId="0" fontId="30" fillId="13" borderId="12" xfId="0" applyFont="1" applyFill="1" applyBorder="1" applyAlignment="1">
      <alignment horizontal="center" vertical="center"/>
    </xf>
    <xf numFmtId="9" fontId="31" fillId="11" borderId="4" xfId="0" applyNumberFormat="1" applyFont="1" applyFill="1" applyBorder="1" applyAlignment="1">
      <alignment horizontal="center" vertical="center"/>
    </xf>
    <xf numFmtId="0" fontId="0" fillId="11" borderId="10" xfId="0" applyFill="1" applyBorder="1" applyAlignment="1">
      <alignment horizontal="center" vertical="center"/>
    </xf>
    <xf numFmtId="0" fontId="15" fillId="11" borderId="11" xfId="0" applyFont="1" applyFill="1" applyBorder="1" applyAlignment="1">
      <alignment horizontal="center" vertical="center"/>
    </xf>
    <xf numFmtId="9" fontId="31" fillId="10" borderId="12" xfId="0" applyNumberFormat="1" applyFont="1" applyFill="1" applyBorder="1" applyAlignment="1">
      <alignment horizontal="center" vertical="center"/>
    </xf>
    <xf numFmtId="9" fontId="31" fillId="11" borderId="12" xfId="0" applyNumberFormat="1" applyFont="1" applyFill="1" applyBorder="1" applyAlignment="1">
      <alignment horizontal="center" vertical="center"/>
    </xf>
    <xf numFmtId="0" fontId="33" fillId="0" borderId="0" xfId="0" applyFont="1" applyAlignment="1">
      <alignment wrapText="1"/>
    </xf>
    <xf numFmtId="0" fontId="35" fillId="0" borderId="3" xfId="0" applyFont="1" applyBorder="1" applyAlignment="1">
      <alignment horizontal="left" vertical="center" wrapText="1"/>
    </xf>
    <xf numFmtId="0" fontId="21" fillId="0" borderId="3" xfId="0" applyFont="1" applyBorder="1" applyAlignment="1">
      <alignment horizontal="left" vertical="center" wrapText="1"/>
    </xf>
    <xf numFmtId="0" fontId="39" fillId="0" borderId="0" xfId="0" applyFont="1"/>
    <xf numFmtId="0" fontId="11" fillId="13" borderId="0" xfId="0" applyFont="1" applyFill="1" applyAlignment="1">
      <alignment horizontal="center"/>
    </xf>
    <xf numFmtId="0" fontId="36" fillId="0" borderId="0" xfId="0" applyFont="1" applyAlignment="1">
      <alignment wrapText="1"/>
    </xf>
    <xf numFmtId="0" fontId="2" fillId="0" borderId="0" xfId="0" applyFont="1"/>
    <xf numFmtId="0" fontId="0" fillId="0" borderId="0" xfId="0"/>
    <xf numFmtId="0" fontId="7" fillId="2" borderId="0" xfId="0" applyFont="1" applyFill="1" applyAlignment="1">
      <alignment horizontal="left" vertical="center"/>
    </xf>
    <xf numFmtId="0" fontId="9" fillId="5" borderId="1" xfId="0" applyFont="1" applyFill="1" applyBorder="1" applyAlignment="1">
      <alignment horizontal="center" vertical="center"/>
    </xf>
    <xf numFmtId="0" fontId="0" fillId="0" borderId="13" xfId="0" applyBorder="1"/>
    <xf numFmtId="0" fontId="40" fillId="19" borderId="18" xfId="0" applyFont="1" applyFill="1" applyBorder="1" applyAlignment="1">
      <alignment horizontal="center" vertical="center"/>
    </xf>
    <xf numFmtId="0" fontId="40" fillId="18" borderId="18" xfId="0" applyFont="1" applyFill="1" applyBorder="1" applyAlignment="1">
      <alignment horizontal="center" vertical="center"/>
    </xf>
    <xf numFmtId="0" fontId="9" fillId="8" borderId="1" xfId="0" applyFont="1" applyFill="1" applyBorder="1" applyAlignment="1">
      <alignment horizontal="center" vertical="center"/>
    </xf>
    <xf numFmtId="0" fontId="0" fillId="0" borderId="2" xfId="0" applyBorder="1"/>
    <xf numFmtId="0" fontId="9" fillId="9" borderId="1" xfId="0" applyFont="1" applyFill="1" applyBorder="1" applyAlignment="1">
      <alignment horizontal="center" vertical="center"/>
    </xf>
    <xf numFmtId="0" fontId="9" fillId="6" borderId="1" xfId="0" applyFont="1" applyFill="1" applyBorder="1" applyAlignment="1">
      <alignment horizontal="center" vertical="center"/>
    </xf>
    <xf numFmtId="0" fontId="38" fillId="8" borderId="5" xfId="0" applyFont="1" applyFill="1" applyBorder="1" applyAlignment="1">
      <alignment horizontal="center" vertical="center"/>
    </xf>
    <xf numFmtId="0" fontId="8" fillId="8" borderId="14" xfId="0" applyFont="1" applyFill="1" applyBorder="1" applyAlignment="1">
      <alignment horizontal="center" vertical="center"/>
    </xf>
    <xf numFmtId="9" fontId="37" fillId="16" borderId="15" xfId="0" applyNumberFormat="1" applyFont="1" applyFill="1" applyBorder="1" applyAlignment="1">
      <alignment horizontal="center" vertical="center"/>
    </xf>
    <xf numFmtId="9" fontId="37" fillId="16" borderId="16" xfId="0" applyNumberFormat="1" applyFont="1" applyFill="1" applyBorder="1" applyAlignment="1">
      <alignment horizontal="center" vertical="center"/>
    </xf>
    <xf numFmtId="0" fontId="11" fillId="17" borderId="17" xfId="0" applyFont="1" applyFill="1" applyBorder="1" applyAlignment="1">
      <alignment horizontal="center" vertical="center"/>
    </xf>
    <xf numFmtId="0" fontId="40" fillId="20" borderId="18" xfId="0" applyFont="1" applyFill="1" applyBorder="1" applyAlignment="1">
      <alignment horizontal="center" vertical="center"/>
    </xf>
    <xf numFmtId="0" fontId="11" fillId="0" borderId="0" xfId="0" applyFont="1" applyAlignment="1">
      <alignment horizontal="center"/>
    </xf>
    <xf numFmtId="0" fontId="27" fillId="15" borderId="8" xfId="0" applyFont="1" applyFill="1" applyBorder="1" applyAlignment="1">
      <alignment horizontal="center" vertical="center"/>
    </xf>
    <xf numFmtId="0" fontId="27" fillId="15" borderId="0" xfId="0" applyFont="1" applyFill="1" applyAlignment="1">
      <alignment horizontal="center" vertical="center"/>
    </xf>
    <xf numFmtId="0" fontId="27" fillId="15" borderId="9" xfId="0" applyFont="1" applyFill="1" applyBorder="1" applyAlignment="1">
      <alignment horizontal="center" vertical="center"/>
    </xf>
    <xf numFmtId="0" fontId="6" fillId="2" borderId="0" xfId="0" applyFont="1" applyFill="1" applyAlignment="1">
      <alignment horizontal="left" vertical="center" wrapText="1"/>
    </xf>
    <xf numFmtId="0" fontId="6" fillId="2" borderId="0" xfId="0" applyFont="1" applyFill="1" applyAlignment="1">
      <alignment horizontal="left" vertical="center"/>
    </xf>
    <xf numFmtId="0" fontId="10" fillId="2" borderId="0" xfId="0" applyFont="1" applyFill="1" applyAlignment="1">
      <alignment horizontal="left" vertical="center"/>
    </xf>
    <xf numFmtId="0" fontId="5" fillId="0" borderId="0" xfId="0" applyFont="1"/>
    <xf numFmtId="0" fontId="1" fillId="0" borderId="0" xfId="0" applyFont="1"/>
    <xf numFmtId="0" fontId="40" fillId="18" borderId="18" xfId="0" applyNumberFormat="1" applyFont="1" applyFill="1" applyBorder="1" applyAlignment="1">
      <alignment horizontal="center" vertical="center"/>
    </xf>
    <xf numFmtId="0" fontId="40" fillId="19" borderId="18" xfId="0" applyNumberFormat="1" applyFont="1" applyFill="1" applyBorder="1" applyAlignment="1">
      <alignment horizontal="center" vertical="center"/>
    </xf>
    <xf numFmtId="0" fontId="40" fillId="20" borderId="18" xfId="0" applyNumberFormat="1" applyFont="1" applyFill="1" applyBorder="1" applyAlignment="1">
      <alignment horizontal="center" vertical="center"/>
    </xf>
  </cellXfs>
  <cellStyles count="3">
    <cellStyle name="Accent5" xfId="2" builtinId="45"/>
    <cellStyle name="Hyperlink" xfId="1" builtinId="8"/>
    <cellStyle name="Normal" xfId="0" builtinId="0"/>
  </cellStyles>
  <dxfs count="196">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ill>
        <patternFill>
          <bgColor rgb="FFF4CCCC"/>
        </patternFill>
      </fill>
    </dxf>
    <dxf>
      <fill>
        <patternFill>
          <bgColor rgb="FFD9EAD3"/>
        </patternFill>
      </fill>
    </dxf>
    <dxf>
      <fill>
        <patternFill>
          <bgColor rgb="FFFFF2CC"/>
        </patternFill>
      </fill>
    </dxf>
    <dxf>
      <fill>
        <patternFill>
          <bgColor rgb="FFFFF2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patternType="solid">
          <bgColor rgb="FF00B050"/>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EBEBEB"/>
        </patternFill>
      </fill>
    </dxf>
    <dxf>
      <fill>
        <patternFill patternType="solid">
          <fgColor rgb="FFF8B6B6"/>
        </patternFill>
      </fill>
    </dxf>
    <dxf>
      <fill>
        <patternFill patternType="solid">
          <fgColor rgb="FFFFE699"/>
        </patternFill>
      </fill>
    </dxf>
    <dxf>
      <fill>
        <patternFill patternType="solid">
          <fgColor rgb="FFC6EFCE"/>
        </patternFill>
      </fill>
    </dxf>
    <dxf>
      <font>
        <color rgb="FF960000"/>
      </font>
      <fill>
        <patternFill>
          <bgColor rgb="FFF4CCCC"/>
        </patternFill>
      </fill>
    </dxf>
    <dxf>
      <font>
        <b/>
        <i val="0"/>
        <color rgb="FFFFFFFF"/>
      </font>
      <fill>
        <patternFill>
          <bgColor rgb="FF86BC71"/>
        </patternFill>
      </fill>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dxf>
    <dxf>
      <numFmt numFmtId="19" formatCode="dd/mm/yyyy"/>
    </dxf>
    <dxf>
      <alignment wrapText="1"/>
    </dxf>
    <dxf>
      <alignment wrapText="1"/>
    </dxf>
    <dxf>
      <numFmt numFmtId="19" formatCode="dd/mm/yyyy"/>
      <alignment wrapText="1"/>
    </dxf>
    <dxf>
      <alignment wrapText="1"/>
    </dxf>
    <dxf>
      <alignment wrapText="1"/>
    </dxf>
    <dxf>
      <alignment wrapText="1"/>
    </dxf>
    <dxf>
      <alignment wrapText="1"/>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wrapText="1"/>
    </dxf>
    <dxf>
      <alignment wrapText="1"/>
    </dxf>
    <dxf>
      <alignment wrapText="1"/>
    </dxf>
    <dxf>
      <numFmt numFmtId="19" formatCode="dd/mm/yyyy"/>
      <alignment wrapText="1"/>
    </dxf>
    <dxf>
      <alignment wrapText="1"/>
    </dxf>
    <dxf>
      <alignment wrapText="1"/>
    </dxf>
    <dxf>
      <alignment wrapText="1"/>
    </dxf>
    <dxf>
      <alignment wrapText="1"/>
    </dxf>
    <dxf>
      <alignment wrapText="1"/>
    </dxf>
    <dxf>
      <alignment wrapText="1"/>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numFmt numFmtId="19" formatCode="dd/mm/yyyy"/>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wrapText="1"/>
    </dxf>
    <dxf>
      <alignment wrapText="1"/>
    </dxf>
    <dxf>
      <alignment wrapText="1"/>
    </dxf>
    <dxf>
      <numFmt numFmtId="19" formatCode="dd/mm/yyyy"/>
      <alignment wrapText="1"/>
    </dxf>
    <dxf>
      <alignment wrapText="1"/>
    </dxf>
    <dxf>
      <alignment wrapText="1"/>
    </dxf>
    <dxf>
      <alignment wrapText="1"/>
    </dxf>
    <dxf>
      <alignment wrapText="1"/>
    </dxf>
    <dxf>
      <alignment wrapText="1"/>
    </dxf>
    <dxf>
      <alignment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iologyTbl" displayName="BiologyTbl" ref="A3:F27" headerRowDxfId="195" dataDxfId="194" totalsRowDxfId="193">
  <autoFilter ref="A3:F27" xr:uid="{00000000-0009-0000-0100-000001000000}"/>
  <tableColumns count="6">
    <tableColumn id="1" xr3:uid="{00000000-0010-0000-0000-000001000000}" name="Topic" dataDxfId="192"/>
    <tableColumn id="2" xr3:uid="{00000000-0010-0000-0000-000002000000}" name="Status" dataDxfId="191"/>
    <tableColumn id="3" xr3:uid="{00000000-0010-0000-0000-000003000000}" name="Confidence" dataDxfId="190"/>
    <tableColumn id="4" xr3:uid="{00000000-0010-0000-0000-000004000000}" name="Last Revised" dataDxfId="189"/>
    <tableColumn id="6" xr3:uid="{00000000-0010-0000-0000-000006000000}" name="Next Action" dataDxfId="188"/>
    <tableColumn id="5" xr3:uid="{F0BDA802-DA31-4BA7-81BA-FDB612DC37E1}" name="General Notes" dataDxfId="187" totalsRowDxfId="186"/>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hemistryTbl" displayName="ChemistryTbl" ref="A3:F18" dataDxfId="185">
  <autoFilter ref="A3:F18" xr:uid="{00000000-0009-0000-0100-000002000000}"/>
  <tableColumns count="6">
    <tableColumn id="1" xr3:uid="{00000000-0010-0000-0100-000001000000}" name="Topic" dataDxfId="184"/>
    <tableColumn id="2" xr3:uid="{00000000-0010-0000-0100-000002000000}" name="Status" dataDxfId="183"/>
    <tableColumn id="3" xr3:uid="{00000000-0010-0000-0100-000003000000}" name="Confidence" dataDxfId="182"/>
    <tableColumn id="4" xr3:uid="{00000000-0010-0000-0100-000004000000}" name="Last Revised" dataDxfId="181"/>
    <tableColumn id="6" xr3:uid="{00000000-0010-0000-0100-000006000000}" name="Next Action" dataDxfId="180"/>
    <tableColumn id="5" xr3:uid="{DB8974C0-4423-4F62-8CA0-D4A3FA4693EA}" name="General Notes" dataDxfId="179"/>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hysicsTbl" displayName="PhysicsTbl" ref="A3:F18" dataDxfId="178">
  <autoFilter ref="A3:F18" xr:uid="{00000000-0009-0000-0100-000003000000}"/>
  <tableColumns count="6">
    <tableColumn id="1" xr3:uid="{00000000-0010-0000-0200-000001000000}" name="Topic" dataDxfId="177"/>
    <tableColumn id="2" xr3:uid="{00000000-0010-0000-0200-000002000000}" name="Status" dataDxfId="176"/>
    <tableColumn id="3" xr3:uid="{00000000-0010-0000-0200-000003000000}" name="Confidence" dataDxfId="175"/>
    <tableColumn id="4" xr3:uid="{00000000-0010-0000-0200-000004000000}" name="Last Revised" dataDxfId="174"/>
    <tableColumn id="6" xr3:uid="{00000000-0010-0000-0200-000006000000}" name="Next Action" dataDxfId="173"/>
    <tableColumn id="5" xr3:uid="{2C5860E0-C42D-447A-99E8-019207F1E49B}" name="General Notes" dataDxfId="172"/>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athematicsTbl" displayName="MathematicsTbl" ref="A3:F18" headerRowDxfId="171" dataDxfId="170" totalsRowDxfId="169">
  <autoFilter ref="A3:F18" xr:uid="{00000000-0009-0000-0100-000004000000}"/>
  <tableColumns count="6">
    <tableColumn id="1" xr3:uid="{00000000-0010-0000-0300-000001000000}" name="Topic" dataDxfId="168"/>
    <tableColumn id="2" xr3:uid="{00000000-0010-0000-0300-000002000000}" name="Status" dataDxfId="167"/>
    <tableColumn id="3" xr3:uid="{00000000-0010-0000-0300-000003000000}" name="Confidence" dataDxfId="166"/>
    <tableColumn id="4" xr3:uid="{00000000-0010-0000-0300-000004000000}" name="Last Revised" dataDxfId="165"/>
    <tableColumn id="6" xr3:uid="{00000000-0010-0000-0300-000006000000}" name="Next Action" dataDxfId="164"/>
    <tableColumn id="5" xr3:uid="{902E25C2-558C-4568-81EE-02B6DDE3EEEE}" name="General Notes" dataDxfId="163" totalsRowDxfId="162"/>
  </tableColumns>
  <tableStyleInfo name="TableStyleLight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glishLanguageTbl" displayName="EnglishLanguageTbl" ref="A3:F18" dataDxfId="161">
  <autoFilter ref="A3:F18" xr:uid="{00000000-0009-0000-0100-000005000000}"/>
  <tableColumns count="6">
    <tableColumn id="1" xr3:uid="{00000000-0010-0000-0400-000001000000}" name="Topic" dataDxfId="160"/>
    <tableColumn id="2" xr3:uid="{00000000-0010-0000-0400-000002000000}" name="Status" dataDxfId="159"/>
    <tableColumn id="3" xr3:uid="{00000000-0010-0000-0400-000003000000}" name="Confidence" dataDxfId="158"/>
    <tableColumn id="4" xr3:uid="{00000000-0010-0000-0400-000004000000}" name="Last Revised" dataDxfId="157"/>
    <tableColumn id="6" xr3:uid="{00000000-0010-0000-0400-000006000000}" name="Next Action" dataDxfId="156"/>
    <tableColumn id="5" xr3:uid="{75D1410F-47BB-4A48-905A-25CF74BDB786}" name="General Notes" dataDxfId="155"/>
  </tableColumns>
  <tableStyleInfo name="TableStyleLight1"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nglishLiteratureTbl" displayName="EnglishLiteratureTbl" ref="A3:F18" headerRowDxfId="154" dataDxfId="153" totalsRowDxfId="152">
  <autoFilter ref="A3:F18" xr:uid="{00000000-0009-0000-0100-000006000000}"/>
  <tableColumns count="6">
    <tableColumn id="1" xr3:uid="{00000000-0010-0000-0500-000001000000}" name="Topic" dataDxfId="151"/>
    <tableColumn id="2" xr3:uid="{00000000-0010-0000-0500-000002000000}" name="Status" dataDxfId="150"/>
    <tableColumn id="3" xr3:uid="{00000000-0010-0000-0500-000003000000}" name="Confidence" dataDxfId="149"/>
    <tableColumn id="4" xr3:uid="{00000000-0010-0000-0500-000004000000}" name="Last Revised" dataDxfId="148"/>
    <tableColumn id="6" xr3:uid="{00000000-0010-0000-0500-000006000000}" name="Next Action" dataDxfId="147"/>
    <tableColumn id="5" xr3:uid="{930CE764-AB02-4790-8724-F5622F11644B}" name="General Notes" dataDxfId="146" totalsRowDxfId="145"/>
  </tableColumns>
  <tableStyleInfo name="TableStyleLight1"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eographyTbl" displayName="GeographyTbl" ref="A3:F18" dataDxfId="144">
  <autoFilter ref="A3:F18" xr:uid="{00000000-0009-0000-0100-000007000000}"/>
  <tableColumns count="6">
    <tableColumn id="1" xr3:uid="{00000000-0010-0000-0600-000001000000}" name="Topic" dataDxfId="143"/>
    <tableColumn id="2" xr3:uid="{00000000-0010-0000-0600-000002000000}" name="Status" dataDxfId="142"/>
    <tableColumn id="3" xr3:uid="{00000000-0010-0000-0600-000003000000}" name="Confidence" dataDxfId="141"/>
    <tableColumn id="4" xr3:uid="{00000000-0010-0000-0600-000004000000}" name="Last Revised" dataDxfId="140"/>
    <tableColumn id="6" xr3:uid="{00000000-0010-0000-0600-000006000000}" name="Next Action" dataDxfId="139"/>
    <tableColumn id="5" xr3:uid="{27D2B179-C2A7-46A7-8BEB-752BF05A8E89}" name="General Notes" dataDxfId="138"/>
  </tableColumns>
  <tableStyleInfo name="TableStyleLight1"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HistoryTbl" displayName="HistoryTbl" ref="A3:F18">
  <autoFilter ref="A3:F18" xr:uid="{00000000-0009-0000-0100-000008000000}"/>
  <tableColumns count="6">
    <tableColumn id="1" xr3:uid="{00000000-0010-0000-0700-000001000000}" name="Topic"/>
    <tableColumn id="2" xr3:uid="{00000000-0010-0000-0700-000002000000}" name="Status"/>
    <tableColumn id="3" xr3:uid="{00000000-0010-0000-0700-000003000000}" name="Confidence"/>
    <tableColumn id="4" xr3:uid="{00000000-0010-0000-0700-000004000000}" name="Last Revised" dataDxfId="137"/>
    <tableColumn id="6" xr3:uid="{00000000-0010-0000-0700-000006000000}" name="Next Action"/>
    <tableColumn id="5" xr3:uid="{28A5B818-9271-4E86-B3A0-50B7055F910C}" name="General Notes"/>
  </tableColumns>
  <tableStyleInfo name="TableStyleLight1"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panishTbl" displayName="SpanishTbl" ref="A3:F18">
  <autoFilter ref="A3:F18" xr:uid="{00000000-0009-0000-0100-000009000000}"/>
  <tableColumns count="6">
    <tableColumn id="1" xr3:uid="{00000000-0010-0000-0800-000001000000}" name="Topic"/>
    <tableColumn id="2" xr3:uid="{00000000-0010-0000-0800-000002000000}" name="Status"/>
    <tableColumn id="3" xr3:uid="{00000000-0010-0000-0800-000003000000}" name="Confidence"/>
    <tableColumn id="4" xr3:uid="{00000000-0010-0000-0800-000004000000}" name="Last Revised" dataDxfId="136"/>
    <tableColumn id="6" xr3:uid="{00000000-0010-0000-0800-000006000000}" name="Next Action"/>
    <tableColumn id="5" xr3:uid="{7C8E7108-0749-49A2-855D-B734764E8E58}" name="General Notes"/>
  </tableColumns>
  <tableStyleInfo name="TableStyleLight1"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ComputerScienceTbl" displayName="ComputerScienceTbl" ref="A3:F18" headerRowDxfId="135" dataDxfId="134" totalsRowDxfId="133">
  <autoFilter ref="A3:F18" xr:uid="{00000000-0009-0000-0100-00000A000000}"/>
  <tableColumns count="6">
    <tableColumn id="1" xr3:uid="{00000000-0010-0000-0900-000001000000}" name="Topic" dataDxfId="132"/>
    <tableColumn id="2" xr3:uid="{00000000-0010-0000-0900-000002000000}" name="Status" dataDxfId="131"/>
    <tableColumn id="3" xr3:uid="{00000000-0010-0000-0900-000003000000}" name="Confidence" dataDxfId="130"/>
    <tableColumn id="4" xr3:uid="{00000000-0010-0000-0900-000004000000}" name="Last Revised" dataDxfId="129"/>
    <tableColumn id="6" xr3:uid="{00000000-0010-0000-0900-000006000000}" name="Next Action" dataDxfId="128"/>
    <tableColumn id="5" xr3:uid="{63D6C4F6-C7E6-4663-AE70-5CFDFF770C29}" name="General Notes" dataDxfId="127" totalsRowDxfId="12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FF182-A9DF-49CA-A197-60E29E93D9CE}">
  <dimension ref="A1:K9"/>
  <sheetViews>
    <sheetView zoomScale="85" zoomScaleNormal="85" zoomScaleSheetLayoutView="100" workbookViewId="0">
      <selection activeCell="K20" sqref="K20"/>
    </sheetView>
  </sheetViews>
  <sheetFormatPr defaultRowHeight="15" x14ac:dyDescent="0.25"/>
  <cols>
    <col min="1" max="5" width="18.7109375" customWidth="1"/>
    <col min="7" max="11" width="18.7109375" customWidth="1"/>
  </cols>
  <sheetData>
    <row r="1" spans="1:11" ht="18.75" x14ac:dyDescent="0.3">
      <c r="A1" s="38" t="s">
        <v>0</v>
      </c>
      <c r="G1" s="38" t="s">
        <v>1</v>
      </c>
    </row>
    <row r="2" spans="1:11" ht="24.95" customHeight="1" x14ac:dyDescent="0.3">
      <c r="A2" s="39" t="s">
        <v>2</v>
      </c>
      <c r="B2" s="39" t="s">
        <v>3</v>
      </c>
      <c r="C2" s="39" t="s">
        <v>4</v>
      </c>
      <c r="D2" s="39" t="s">
        <v>5</v>
      </c>
      <c r="E2" s="39" t="s">
        <v>6</v>
      </c>
      <c r="G2" s="39" t="s">
        <v>2</v>
      </c>
      <c r="H2" s="39" t="s">
        <v>3</v>
      </c>
      <c r="I2" s="39" t="s">
        <v>4</v>
      </c>
      <c r="J2" s="39" t="s">
        <v>5</v>
      </c>
      <c r="K2" s="39" t="s">
        <v>6</v>
      </c>
    </row>
    <row r="3" spans="1:11" ht="24.95" customHeight="1" x14ac:dyDescent="0.3">
      <c r="A3" s="40" t="s">
        <v>7</v>
      </c>
      <c r="B3" s="40" t="s">
        <v>8</v>
      </c>
      <c r="C3" s="40" t="s">
        <v>9</v>
      </c>
      <c r="D3" s="40" t="s">
        <v>10</v>
      </c>
      <c r="E3" s="40" t="s">
        <v>11</v>
      </c>
      <c r="G3" s="40" t="s">
        <v>7</v>
      </c>
      <c r="H3" s="40" t="s">
        <v>9</v>
      </c>
      <c r="I3" s="40" t="s">
        <v>8</v>
      </c>
      <c r="J3" s="40" t="s">
        <v>10</v>
      </c>
      <c r="K3" s="40" t="s">
        <v>12</v>
      </c>
    </row>
    <row r="4" spans="1:11" ht="24.95" customHeight="1" x14ac:dyDescent="0.3">
      <c r="A4" s="41" t="s">
        <v>13</v>
      </c>
      <c r="B4" s="41" t="s">
        <v>12</v>
      </c>
      <c r="C4" s="41" t="s">
        <v>14</v>
      </c>
      <c r="D4" s="41" t="s">
        <v>15</v>
      </c>
      <c r="E4" s="41" t="s">
        <v>16</v>
      </c>
      <c r="G4" s="41" t="s">
        <v>13</v>
      </c>
      <c r="H4" s="41" t="s">
        <v>8</v>
      </c>
      <c r="I4" s="41" t="s">
        <v>15</v>
      </c>
      <c r="J4" s="41" t="s">
        <v>14</v>
      </c>
      <c r="K4" s="41" t="s">
        <v>10</v>
      </c>
    </row>
    <row r="5" spans="1:11" ht="24.95" customHeight="1" x14ac:dyDescent="0.3">
      <c r="A5" s="40" t="s">
        <v>17</v>
      </c>
      <c r="B5" s="40" t="s">
        <v>18</v>
      </c>
      <c r="C5" s="40" t="s">
        <v>9</v>
      </c>
      <c r="D5" s="40" t="s">
        <v>19</v>
      </c>
      <c r="E5" s="40" t="s">
        <v>8</v>
      </c>
      <c r="G5" s="40" t="s">
        <v>17</v>
      </c>
      <c r="H5" s="40" t="s">
        <v>19</v>
      </c>
      <c r="I5" s="40" t="s">
        <v>14</v>
      </c>
      <c r="J5" s="40" t="s">
        <v>16</v>
      </c>
      <c r="K5" s="40" t="s">
        <v>18</v>
      </c>
    </row>
    <row r="6" spans="1:11" ht="24.95" customHeight="1" x14ac:dyDescent="0.3">
      <c r="A6" s="41" t="s">
        <v>20</v>
      </c>
      <c r="B6" s="41" t="s">
        <v>16</v>
      </c>
      <c r="C6" s="41" t="s">
        <v>10</v>
      </c>
      <c r="D6" s="41" t="s">
        <v>18</v>
      </c>
      <c r="E6" s="41" t="s">
        <v>11</v>
      </c>
      <c r="G6" s="41" t="s">
        <v>20</v>
      </c>
      <c r="H6" s="41" t="s">
        <v>16</v>
      </c>
      <c r="I6" s="41" t="s">
        <v>18</v>
      </c>
      <c r="J6" s="41" t="s">
        <v>11</v>
      </c>
      <c r="K6" s="41" t="s">
        <v>14</v>
      </c>
    </row>
    <row r="7" spans="1:11" ht="24.95" customHeight="1" x14ac:dyDescent="0.3">
      <c r="A7" s="40" t="s">
        <v>21</v>
      </c>
      <c r="B7" s="40" t="s">
        <v>14</v>
      </c>
      <c r="C7" s="40" t="s">
        <v>9</v>
      </c>
      <c r="D7" s="40" t="s">
        <v>15</v>
      </c>
      <c r="E7" s="40" t="s">
        <v>12</v>
      </c>
      <c r="G7" s="40" t="s">
        <v>21</v>
      </c>
      <c r="H7" s="40" t="s">
        <v>8</v>
      </c>
      <c r="I7" s="40" t="s">
        <v>10</v>
      </c>
      <c r="J7" s="40" t="s">
        <v>9</v>
      </c>
      <c r="K7" s="40" t="s">
        <v>16</v>
      </c>
    </row>
    <row r="8" spans="1:11" ht="24.95" customHeight="1" x14ac:dyDescent="0.3">
      <c r="A8" s="41" t="s">
        <v>22</v>
      </c>
      <c r="B8" s="41" t="s">
        <v>18</v>
      </c>
      <c r="C8" s="41" t="s">
        <v>19</v>
      </c>
      <c r="D8" s="41" t="s">
        <v>23</v>
      </c>
      <c r="E8" s="41" t="s">
        <v>23</v>
      </c>
      <c r="G8" s="41" t="s">
        <v>22</v>
      </c>
      <c r="H8" s="41" t="s">
        <v>18</v>
      </c>
      <c r="I8" s="41" t="s">
        <v>12</v>
      </c>
      <c r="J8" s="41" t="s">
        <v>23</v>
      </c>
      <c r="K8" s="41" t="s">
        <v>23</v>
      </c>
    </row>
    <row r="9" spans="1:11" ht="24.95" customHeight="1" x14ac:dyDescent="0.3">
      <c r="A9" s="40" t="s">
        <v>24</v>
      </c>
      <c r="B9" s="40" t="s">
        <v>8</v>
      </c>
      <c r="C9" s="40" t="s">
        <v>16</v>
      </c>
      <c r="D9" s="40" t="s">
        <v>23</v>
      </c>
      <c r="E9" s="40" t="s">
        <v>23</v>
      </c>
      <c r="G9" s="40" t="s">
        <v>24</v>
      </c>
      <c r="H9" s="40" t="s">
        <v>19</v>
      </c>
      <c r="I9" s="40" t="s">
        <v>15</v>
      </c>
      <c r="J9" s="40" t="s">
        <v>23</v>
      </c>
      <c r="K9" s="40"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28"/>
  <sheetViews>
    <sheetView showGridLines="0" tabSelected="1" zoomScale="70" zoomScaleNormal="70" workbookViewId="0">
      <selection activeCell="A9" sqref="A9:B9"/>
    </sheetView>
  </sheetViews>
  <sheetFormatPr defaultRowHeight="15" x14ac:dyDescent="0.25"/>
  <cols>
    <col min="1" max="1" width="22.7109375" customWidth="1"/>
    <col min="2" max="8" width="14.7109375" customWidth="1"/>
    <col min="9" max="9" width="19.42578125" customWidth="1"/>
    <col min="10" max="10" width="12.7109375" customWidth="1"/>
    <col min="14" max="14" width="13" hidden="1" customWidth="1"/>
    <col min="27" max="30" width="2.7109375" hidden="1" customWidth="1"/>
  </cols>
  <sheetData>
    <row r="1" spans="1:14" ht="39.950000000000003" customHeight="1" x14ac:dyDescent="0.25">
      <c r="A1" s="63" t="s">
        <v>25</v>
      </c>
      <c r="B1" s="62"/>
      <c r="C1" s="62"/>
      <c r="D1" s="62"/>
      <c r="E1" s="62"/>
      <c r="F1" s="62"/>
      <c r="G1" s="62"/>
      <c r="H1" s="62"/>
      <c r="I1" s="62"/>
      <c r="J1" s="62"/>
      <c r="K1" s="62"/>
      <c r="L1" s="62"/>
      <c r="N1" t="s">
        <v>26</v>
      </c>
    </row>
    <row r="2" spans="1:14" ht="8.1" customHeight="1" x14ac:dyDescent="0.25">
      <c r="N2" t="s">
        <v>18</v>
      </c>
    </row>
    <row r="3" spans="1:14" ht="26.1" customHeight="1" x14ac:dyDescent="0.3">
      <c r="A3" s="61" t="s">
        <v>27</v>
      </c>
      <c r="B3" s="62"/>
      <c r="C3" s="62"/>
      <c r="D3" s="62"/>
      <c r="E3" s="62"/>
      <c r="F3" s="62"/>
      <c r="N3" t="s">
        <v>14</v>
      </c>
    </row>
    <row r="4" spans="1:14" x14ac:dyDescent="0.25">
      <c r="N4" t="s">
        <v>8</v>
      </c>
    </row>
    <row r="5" spans="1:14" ht="30" customHeight="1" x14ac:dyDescent="0.25">
      <c r="A5" s="5" t="s">
        <v>28</v>
      </c>
      <c r="C5" s="5" t="s">
        <v>29</v>
      </c>
      <c r="E5" s="5" t="s">
        <v>30</v>
      </c>
      <c r="G5" s="5" t="s">
        <v>31</v>
      </c>
      <c r="I5" s="72" t="s">
        <v>32</v>
      </c>
      <c r="J5" s="73"/>
      <c r="N5" t="s">
        <v>19</v>
      </c>
    </row>
    <row r="6" spans="1:14" ht="30" customHeight="1" thickBot="1" x14ac:dyDescent="0.3">
      <c r="A6" s="68">
        <f ca="1">SUMPRODUCT(COUNTIFS(INDIRECT("'"&amp;Subjects&amp;"'!A4:A1000"),"?*"))</f>
        <v>58</v>
      </c>
      <c r="B6" s="69"/>
      <c r="C6" s="71">
        <f ca="1">A6-E6-G6</f>
        <v>30</v>
      </c>
      <c r="D6" s="69"/>
      <c r="E6" s="70">
        <f ca="1">SUMPRODUCT(COUNTIFS(INDIRECT("'"&amp;Subjects&amp;"'!A4:A1000"),"?*",INDIRECT("'"&amp;Subjects&amp;"'!B4:B1000"),"In Progress"))</f>
        <v>6</v>
      </c>
      <c r="F6" s="69"/>
      <c r="G6" s="64">
        <f ca="1">SUMPRODUCT(COUNTIFS(INDIRECT("'"&amp;Subjects&amp;"'!A4:A1000"),"?*",INDIRECT("'"&amp;Subjects&amp;"'!B4:B1000"),"Completed"))</f>
        <v>22</v>
      </c>
      <c r="H6" s="65"/>
      <c r="I6" s="74">
        <f t="shared" ref="I6" ca="1" si="0">IFERROR(SUM(G6)/SUM(A6), 0)</f>
        <v>0.37931034482758619</v>
      </c>
      <c r="J6" s="75"/>
      <c r="N6" t="s">
        <v>16</v>
      </c>
    </row>
    <row r="7" spans="1:14" x14ac:dyDescent="0.25">
      <c r="N7" t="s">
        <v>9</v>
      </c>
    </row>
    <row r="8" spans="1:14" ht="21.95" customHeight="1" x14ac:dyDescent="0.25">
      <c r="A8" s="76" t="s">
        <v>38</v>
      </c>
      <c r="B8" s="76"/>
      <c r="C8" s="76" t="s">
        <v>33</v>
      </c>
      <c r="D8" s="76"/>
      <c r="E8" s="76" t="s">
        <v>34</v>
      </c>
      <c r="F8" s="76"/>
      <c r="N8" t="s">
        <v>12</v>
      </c>
    </row>
    <row r="9" spans="1:14" ht="21.95" customHeight="1" x14ac:dyDescent="0.25">
      <c r="A9" s="87">
        <f ca="1">SUMPRODUCT(COUNTIFS(INDIRECT("'"&amp;Subjects&amp;"'!A4:A1000"),"?*",INDIRECT("'"&amp;Subjects&amp;"'!C4:C1000"),"Green"))</f>
        <v>21</v>
      </c>
      <c r="B9" s="67"/>
      <c r="C9" s="88">
        <f ca="1">SUMPRODUCT(COUNTIFS(INDIRECT("'"&amp;Subjects&amp;"'!A4:A1000"),"?*",INDIRECT("'"&amp;Subjects&amp;"'!C4:C1000"),"Amber"))</f>
        <v>6</v>
      </c>
      <c r="D9" s="66"/>
      <c r="E9" s="89">
        <f ca="1">SUMPRODUCT(COUNTIFS(INDIRECT("'"&amp;Subjects&amp;"'!A4:A1000"),"?*",INDIRECT("'"&amp;Subjects&amp;"'!C4:C1000"),"Red"))</f>
        <v>1</v>
      </c>
      <c r="F9" s="77"/>
      <c r="N9" t="s">
        <v>10</v>
      </c>
    </row>
    <row r="10" spans="1:14" x14ac:dyDescent="0.25">
      <c r="N10" t="s">
        <v>11</v>
      </c>
    </row>
    <row r="11" spans="1:14" ht="9.9499999999999993" customHeight="1" x14ac:dyDescent="0.25">
      <c r="N11" t="s">
        <v>15</v>
      </c>
    </row>
    <row r="12" spans="1:14" ht="26.1" customHeight="1" x14ac:dyDescent="0.3">
      <c r="A12" s="61" t="s">
        <v>35</v>
      </c>
      <c r="B12" s="62"/>
      <c r="C12" s="62"/>
      <c r="D12" s="62"/>
      <c r="E12" s="62"/>
      <c r="F12" s="62"/>
      <c r="G12" s="62"/>
      <c r="H12" s="62"/>
    </row>
    <row r="13" spans="1:14" ht="30" customHeight="1" x14ac:dyDescent="0.25">
      <c r="A13" s="26" t="s">
        <v>36</v>
      </c>
      <c r="B13" s="27" t="s">
        <v>37</v>
      </c>
      <c r="C13" s="27" t="s">
        <v>29</v>
      </c>
      <c r="D13" s="27" t="s">
        <v>30</v>
      </c>
      <c r="E13" s="27" t="s">
        <v>31</v>
      </c>
      <c r="F13" s="27" t="s">
        <v>38</v>
      </c>
      <c r="G13" s="27" t="s">
        <v>33</v>
      </c>
      <c r="H13" s="45" t="s">
        <v>34</v>
      </c>
      <c r="I13" s="49" t="s">
        <v>39</v>
      </c>
      <c r="J13" s="46" t="s">
        <v>40</v>
      </c>
    </row>
    <row r="14" spans="1:14" ht="24.95" customHeight="1" x14ac:dyDescent="0.25">
      <c r="A14" s="22" t="s">
        <v>18</v>
      </c>
      <c r="B14" s="23">
        <f ca="1">SUMPRODUCT(COUNTIFS(INDIRECT("'Biology'!A4:A1000"),"?*"))</f>
        <v>8</v>
      </c>
      <c r="C14" s="23">
        <f t="shared" ref="C14:C23" ca="1" si="1">B14-D14-E14</f>
        <v>3</v>
      </c>
      <c r="D14" s="23">
        <f ca="1">SUMPRODUCT(COUNTIFS(INDIRECT("'Biology'!A4:A1000"),"?*",INDIRECT("'Biology'!B4:B1000"),"In Progress"))</f>
        <v>0</v>
      </c>
      <c r="E14" s="23">
        <f ca="1">SUMPRODUCT(COUNTIFS(INDIRECT("'Biology'!A4:A1000"),"?*",INDIRECT("'Biology'!B4:B1000"),"Completed"))</f>
        <v>5</v>
      </c>
      <c r="F14" s="23">
        <f ca="1">SUMPRODUCT(COUNTIFS(INDIRECT("'Biology'!A4:A1000"),"?*",INDIRECT("'Biology'!C4:C1000"),"Green"))</f>
        <v>5</v>
      </c>
      <c r="G14" s="23">
        <f ca="1">SUMPRODUCT(COUNTIFS(INDIRECT("'Biology'!A4:A1000"),"?*",INDIRECT("'Biology'!C4:C1000"),"Amber"))</f>
        <v>0</v>
      </c>
      <c r="H14" s="47">
        <f ca="1">SUMPRODUCT(COUNTIFS(INDIRECT("'Biology'!A4:A1000"),"?*",INDIRECT("'Biology'!C4:C1000"),"Red"))</f>
        <v>0</v>
      </c>
      <c r="I14" s="53">
        <f t="shared" ref="I14:I23" ca="1" si="2">IFERROR(E14/B14, 0)</f>
        <v>0.625</v>
      </c>
      <c r="J14" s="48" t="str">
        <f ca="1">IF(MAX(Biology!D4:D1000)=0, "-", IF(MAX(Biology!D4:D1000)=TODAY(), "Today", IF(TODAY()-MAX(Biology!D4:D1000)=1, "Yesterday", TODAY()-MAX(Biology!D4:D1000) &amp; " days ago")))</f>
        <v>4 days ago</v>
      </c>
    </row>
    <row r="15" spans="1:14" ht="24.95" customHeight="1" x14ac:dyDescent="0.25">
      <c r="A15" s="24" t="s">
        <v>14</v>
      </c>
      <c r="B15" s="25">
        <f ca="1">SUMPRODUCT(COUNTIFS(INDIRECT("'Chemistry'!A4:A1000"),"?*"))</f>
        <v>8</v>
      </c>
      <c r="C15" s="25">
        <f t="shared" ca="1" si="1"/>
        <v>4</v>
      </c>
      <c r="D15" s="25">
        <f ca="1">SUMPRODUCT(COUNTIFS(INDIRECT("'Chemistry'!A4:A1000"),"?*",INDIRECT("'Chemistry'!B4:B1000"),"In Progress"))</f>
        <v>0</v>
      </c>
      <c r="E15" s="25">
        <f ca="1">SUMPRODUCT(COUNTIFS(INDIRECT("'Chemistry'!A4:A1000"),"?*",INDIRECT("'Chemistry'!B4:B1000"),"Completed"))</f>
        <v>4</v>
      </c>
      <c r="F15" s="25">
        <f ca="1">SUMPRODUCT(COUNTIFS(INDIRECT("'Chemistry'!A4:A1000"),"?*",INDIRECT("'Chemistry'!C4:C1000"),"Green"))</f>
        <v>4</v>
      </c>
      <c r="G15" s="25">
        <f ca="1">SUMPRODUCT(COUNTIFS(INDIRECT("'Chemistry'!A4:A1000"),"?*",INDIRECT("'Chemistry'!C4:C1000"),"Amber"))</f>
        <v>0</v>
      </c>
      <c r="H15" s="51">
        <f ca="1">SUMPRODUCT(COUNTIFS(INDIRECT("'Chemistry'!A4:A1000"),"?*",INDIRECT("'Chemistry'!C4:C1000"),"Red"))</f>
        <v>0</v>
      </c>
      <c r="I15" s="54">
        <f t="shared" ca="1" si="2"/>
        <v>0.5</v>
      </c>
      <c r="J15" s="52" t="str">
        <f ca="1">IF(MAX(Chemistry!D4:D1000)=0, "N/A", IF(MAX(Chemistry!D4:D1000)=TODAY(), "Today", IF(TODAY()-MAX(Chemistry!D4:D1000)=1, "Yesterday", TODAY()-MAX(Chemistry!D4:D1000) &amp; " days ago")))</f>
        <v>Today</v>
      </c>
    </row>
    <row r="16" spans="1:14" ht="24.95" customHeight="1" x14ac:dyDescent="0.25">
      <c r="A16" s="22" t="s">
        <v>8</v>
      </c>
      <c r="B16" s="23">
        <f ca="1">SUMPRODUCT(COUNTIFS(INDIRECT("'Physics'!A4:A1000"),"?*"))</f>
        <v>7</v>
      </c>
      <c r="C16" s="23">
        <f t="shared" ca="1" si="1"/>
        <v>3</v>
      </c>
      <c r="D16" s="23">
        <f ca="1">SUMPRODUCT(COUNTIFS(INDIRECT("'Physics'!A4:A1000"),"?*",INDIRECT("'Physics'!B4:B1000"),"In Progress"))</f>
        <v>0</v>
      </c>
      <c r="E16" s="23">
        <f ca="1">SUMPRODUCT(COUNTIFS(INDIRECT("'Physics'!A4:A1000"),"?*",INDIRECT("'Physics'!B4:B1000"),"Completed"))</f>
        <v>4</v>
      </c>
      <c r="F16" s="23">
        <f ca="1">SUMPRODUCT(COUNTIFS(INDIRECT("'Physics'!A4:A1000"),"?*",INDIRECT("'Physics'!C4:C1000"),"Green"))</f>
        <v>4</v>
      </c>
      <c r="G16" s="23">
        <f ca="1">SUMPRODUCT(COUNTIFS(INDIRECT("'Physics'!A4:A1000"),"?*",INDIRECT("'Physics'!C4:C1000"),"Amber"))</f>
        <v>0</v>
      </c>
      <c r="H16" s="47">
        <f ca="1">SUMPRODUCT(COUNTIFS(INDIRECT("'Physics'!A4:A1000"),"?*",INDIRECT("'Physics'!C4:C1000"),"Red"))</f>
        <v>0</v>
      </c>
      <c r="I16" s="53">
        <f t="shared" ca="1" si="2"/>
        <v>0.5714285714285714</v>
      </c>
      <c r="J16" s="48" t="str">
        <f ca="1">IF(MAX(Physics!D4:D1000)=0, "-", IF(MAX(Physics!D4:D1000)=TODAY(), "Today", IF(TODAY()-MAX(Physics!D4:D1000)=1, "Yesterday", TODAY()-MAX(Physics!D4:D1000) &amp; " days ago")))</f>
        <v>Yesterday</v>
      </c>
    </row>
    <row r="17" spans="1:30" ht="24.95" customHeight="1" x14ac:dyDescent="0.25">
      <c r="A17" s="24" t="s">
        <v>19</v>
      </c>
      <c r="B17" s="25">
        <f ca="1">SUMPRODUCT(COUNTIFS(INDIRECT("'Mathematics'!A4:A1000"),"?*"))</f>
        <v>1</v>
      </c>
      <c r="C17" s="25">
        <f t="shared" ca="1" si="1"/>
        <v>0</v>
      </c>
      <c r="D17" s="25">
        <f ca="1">SUMPRODUCT(COUNTIFS(INDIRECT("'Mathematics'!A4:A1000"),"?*",INDIRECT("'Mathematics'!B4:B1000"),"In Progress"))</f>
        <v>1</v>
      </c>
      <c r="E17" s="25">
        <f ca="1">SUMPRODUCT(COUNTIFS(INDIRECT("'Mathematics'!A4:A1000"),"?*",INDIRECT("'Mathematics'!B4:B1000"),"Completed"))</f>
        <v>0</v>
      </c>
      <c r="F17" s="25">
        <f ca="1">SUMPRODUCT(COUNTIFS(INDIRECT("'Mathematics'!A4:A1000"),"?*",INDIRECT("'Mathematics'!C4:C1000"),"Green"))</f>
        <v>1</v>
      </c>
      <c r="G17" s="25">
        <f ca="1">SUMPRODUCT(COUNTIFS(INDIRECT("'Mathematics'!A4:A1000"),"?*",INDIRECT("'Mathematics'!C4:C1000"),"Amber"))</f>
        <v>0</v>
      </c>
      <c r="H17" s="51">
        <f ca="1">SUMPRODUCT(COUNTIFS(INDIRECT("'Mathematics'!A4:A1000"),"?*",INDIRECT("'Mathematics'!C4:C1000"),"Red"))</f>
        <v>0</v>
      </c>
      <c r="I17" s="54">
        <f t="shared" ca="1" si="2"/>
        <v>0</v>
      </c>
      <c r="J17" s="52" t="str">
        <f ca="1">IF(MAX(Mathematics!D4:D1000)=0, "-", IF(MAX(Mathematics!D4:D1000)=TODAY(), "Today", IF(TODAY()-MAX(Mathematics!D4:D1000)=1, "Yesterday", TODAY()-MAX(Mathematics!D4:D1000) &amp; " days ago")))</f>
        <v>4 days ago</v>
      </c>
    </row>
    <row r="18" spans="1:30" ht="24.95" customHeight="1" x14ac:dyDescent="0.25">
      <c r="A18" s="22" t="s">
        <v>16</v>
      </c>
      <c r="B18" s="23">
        <f ca="1">SUMPRODUCT(COUNTIFS(INDIRECT("'English Language'!A4:A1000"),"?*"))</f>
        <v>10</v>
      </c>
      <c r="C18" s="23">
        <f t="shared" ca="1" si="1"/>
        <v>4</v>
      </c>
      <c r="D18" s="23">
        <f ca="1">SUMPRODUCT(COUNTIFS(INDIRECT("'English Language'!A4:A1000"),"?*",INDIRECT("'English Language'!B4:B1000"),"In Progress"))</f>
        <v>1</v>
      </c>
      <c r="E18" s="23">
        <f ca="1">SUMPRODUCT(COUNTIFS(INDIRECT("'English Language'!A4:A1000"),"?*",INDIRECT("'English Language'!B4:B1000"),"Completed"))</f>
        <v>5</v>
      </c>
      <c r="F18" s="23">
        <f ca="1">SUMPRODUCT(COUNTIFS(INDIRECT("'English Language'!A4:A1000"),"?*",INDIRECT("'English Language'!C4:C1000"),"Green"))</f>
        <v>2</v>
      </c>
      <c r="G18" s="23">
        <f ca="1">SUMPRODUCT(COUNTIFS(INDIRECT("'English Language'!A4:A1000"),"?*",INDIRECT("'English Language'!C4:C1000"),"Amber"))</f>
        <v>3</v>
      </c>
      <c r="H18" s="47">
        <f ca="1">SUMPRODUCT(COUNTIFS(INDIRECT("'English Language'!A4:A1000"),"?*",INDIRECT("'English Language'!C4:C1000"),"Red"))</f>
        <v>1</v>
      </c>
      <c r="I18" s="53">
        <f t="shared" ca="1" si="2"/>
        <v>0.5</v>
      </c>
      <c r="J18" s="48" t="str">
        <f ca="1">IF(MAX('English Language'!D4:D1000)=0, "-", IF(MAX('English Language'!D4:D1000)=TODAY(), "Today", IF(TODAY()-MAX('English Language'!D4:D1000)=1, "Yesterday", TODAY()-MAX('English Language'!D4:D1000) &amp; " days ago")))</f>
        <v>Today</v>
      </c>
    </row>
    <row r="19" spans="1:30" ht="24.95" customHeight="1" x14ac:dyDescent="0.25">
      <c r="A19" s="24" t="s">
        <v>9</v>
      </c>
      <c r="B19" s="25">
        <f ca="1">SUMPRODUCT(COUNTIFS(INDIRECT("'English Literature'!A4:A1000"),"?*"))</f>
        <v>6</v>
      </c>
      <c r="C19" s="25">
        <f t="shared" ca="1" si="1"/>
        <v>4</v>
      </c>
      <c r="D19" s="25">
        <f ca="1">SUMPRODUCT(COUNTIFS(INDIRECT("'English Literature'!A4:A1000"),"?*",INDIRECT("'English Literature'!B4:B1000"),"In Progress"))</f>
        <v>1</v>
      </c>
      <c r="E19" s="25">
        <f ca="1">SUMPRODUCT(COUNTIFS(INDIRECT("'English Literature'!A4:A1000"),"?*",INDIRECT("'English Literature'!B4:B1000"),"Completed"))</f>
        <v>1</v>
      </c>
      <c r="F19" s="25">
        <f ca="1">SUMPRODUCT(COUNTIFS(INDIRECT("'English Literature'!A4:A1000"),"?*",INDIRECT("'English Literature'!C4:C1000"),"Green"))</f>
        <v>0</v>
      </c>
      <c r="G19" s="25">
        <f ca="1">SUMPRODUCT(COUNTIFS(INDIRECT("'English Literature'!A4:A1000"),"?*",INDIRECT("'English Literature'!C4:C1000"),"Amber"))</f>
        <v>2</v>
      </c>
      <c r="H19" s="51">
        <f ca="1">SUMPRODUCT(COUNTIFS(INDIRECT("'English Literature'!A4:A1000"),"?*",INDIRECT("'English Literature'!C4:C1000"),"Red"))</f>
        <v>0</v>
      </c>
      <c r="I19" s="54">
        <f t="shared" ca="1" si="2"/>
        <v>0.16666666666666666</v>
      </c>
      <c r="J19" s="52" t="str">
        <f ca="1">IF(MAX('English Literature'!D4:D1000)=0, "-", IF(MAX('English Literature'!D4:D1000)=TODAY(), "Today", IF(TODAY()-MAX('English Literature'!D4:D1000)=1, "Yesterday", TODAY()-MAX('English Literature'!D4:D1000) &amp; " days ago")))</f>
        <v>2 days ago</v>
      </c>
    </row>
    <row r="20" spans="1:30" ht="24.95" customHeight="1" x14ac:dyDescent="0.25">
      <c r="A20" s="22" t="s">
        <v>12</v>
      </c>
      <c r="B20" s="23">
        <f ca="1">SUMPRODUCT(COUNTIFS(INDIRECT("'Geography'!A4:A1000"),"?*"))</f>
        <v>5</v>
      </c>
      <c r="C20" s="23">
        <f t="shared" ca="1" si="1"/>
        <v>3</v>
      </c>
      <c r="D20" s="23">
        <f ca="1">SUMPRODUCT(COUNTIFS(INDIRECT("'Geography'!A4:A1000"),"?*",INDIRECT("'Geography'!B4:B1000"),"In Progress"))</f>
        <v>1</v>
      </c>
      <c r="E20" s="23">
        <f ca="1">SUMPRODUCT(COUNTIFS(INDIRECT("'Geography'!A4:A1000"),"?*",INDIRECT("'Geography'!B4:B1000"),"Completed"))</f>
        <v>1</v>
      </c>
      <c r="F20" s="23">
        <f ca="1">SUMPRODUCT(COUNTIFS(INDIRECT("'Geography'!A4:A1000"),"?*",INDIRECT("'Geography'!C4:C1000"),"Green"))</f>
        <v>2</v>
      </c>
      <c r="G20" s="23">
        <f ca="1">SUMPRODUCT(COUNTIFS(INDIRECT("'Geography'!A4:A1000"),"?*",INDIRECT("'Geography'!C4:C1000"),"Amber"))</f>
        <v>0</v>
      </c>
      <c r="H20" s="47">
        <f ca="1">SUMPRODUCT(COUNTIFS(INDIRECT("'Geography'!A4:A1000"),"?*",INDIRECT("'Geography'!C4:C1000"),"Red"))</f>
        <v>0</v>
      </c>
      <c r="I20" s="53">
        <f t="shared" ca="1" si="2"/>
        <v>0.2</v>
      </c>
      <c r="J20" s="48" t="str">
        <f ca="1">IF(MAX(Geography!D4:D1000)=0, "-", IF(MAX(Geography!D4:D1000)=TODAY(), "Today", IF(TODAY()-MAX(Geography!D4:D1000)=1, "Yesterday", TODAY()-MAX(Geography!D4:D1000) &amp; " days ago")))</f>
        <v>Yesterday</v>
      </c>
    </row>
    <row r="21" spans="1:30" ht="24.95" customHeight="1" x14ac:dyDescent="0.25">
      <c r="A21" s="24" t="s">
        <v>10</v>
      </c>
      <c r="B21" s="25">
        <f ca="1">SUMPRODUCT(COUNTIFS(INDIRECT("'History'!A4:A1000"),"?*"))</f>
        <v>3</v>
      </c>
      <c r="C21" s="25">
        <f t="shared" ca="1" si="1"/>
        <v>2</v>
      </c>
      <c r="D21" s="25">
        <f ca="1">SUMPRODUCT(COUNTIFS(INDIRECT("'History'!A4:A1000"),"?*",INDIRECT("'History'!B4:B1000"),"In Progress"))</f>
        <v>1</v>
      </c>
      <c r="E21" s="25">
        <f ca="1">SUMPRODUCT(COUNTIFS(INDIRECT("'History'!A4:A1000"),"?*",INDIRECT("'History'!B4:B1000"),"Completed"))</f>
        <v>0</v>
      </c>
      <c r="F21" s="25">
        <f ca="1">SUMPRODUCT(COUNTIFS(INDIRECT("'History'!A4:A1000"),"?*",INDIRECT("'History'!C4:C1000"),"Green"))</f>
        <v>1</v>
      </c>
      <c r="G21" s="25">
        <f ca="1">SUMPRODUCT(COUNTIFS(INDIRECT("'History'!A4:A1000"),"?*",INDIRECT("'History'!C4:C1000"),"Amber"))</f>
        <v>0</v>
      </c>
      <c r="H21" s="51">
        <f ca="1">SUMPRODUCT(COUNTIFS(INDIRECT("'History'!A4:A1000"),"?*",INDIRECT("'History'!C4:C1000"),"Red"))</f>
        <v>0</v>
      </c>
      <c r="I21" s="54">
        <f t="shared" ca="1" si="2"/>
        <v>0</v>
      </c>
      <c r="J21" s="52" t="str">
        <f ca="1">IF(MAX(History!D4:D1000)=0, "-", IF(MAX(History!D4:D1000)=TODAY(), "Today", IF(TODAY()-MAX(History!D4:D1000)=1, "Yesterday", TODAY()-MAX(History!D4:D1000) &amp; " days ago")))</f>
        <v>Yesterday</v>
      </c>
    </row>
    <row r="22" spans="1:30" ht="24.95" customHeight="1" x14ac:dyDescent="0.25">
      <c r="A22" s="22" t="s">
        <v>11</v>
      </c>
      <c r="B22" s="23">
        <f ca="1">SUMPRODUCT(COUNTIFS(INDIRECT("'Spanish'!A4:A1000"),"?*"))</f>
        <v>4</v>
      </c>
      <c r="C22" s="23">
        <f t="shared" ca="1" si="1"/>
        <v>3</v>
      </c>
      <c r="D22" s="23">
        <f ca="1">SUMPRODUCT(COUNTIFS(INDIRECT("'Spanish'!A4:A1000"),"?*",INDIRECT("'Spanish'!B4:B1000"),"In Progress"))</f>
        <v>1</v>
      </c>
      <c r="E22" s="23">
        <f ca="1">SUMPRODUCT(COUNTIFS(INDIRECT("'Spanish'!A4:A1000"),"?*",INDIRECT("'Spanish'!B4:B1000"),"Completed"))</f>
        <v>0</v>
      </c>
      <c r="F22" s="23">
        <f ca="1">SUMPRODUCT(COUNTIFS(INDIRECT("'Spanish'!A4:A1000"),"?*",INDIRECT("'Spanish'!C4:C1000"),"Green"))</f>
        <v>1</v>
      </c>
      <c r="G22" s="23">
        <f ca="1">SUMPRODUCT(COUNTIFS(INDIRECT("'Spanish'!A4:A1000"),"?*",INDIRECT("'Spanish'!C4:C1000"),"Amber"))</f>
        <v>0</v>
      </c>
      <c r="H22" s="47">
        <f ca="1">SUMPRODUCT(COUNTIFS(INDIRECT("'Spanish'!A4:A1000"),"?*",INDIRECT("'Spanish'!C4:C1000"),"Red"))</f>
        <v>0</v>
      </c>
      <c r="I22" s="53">
        <f t="shared" ca="1" si="2"/>
        <v>0</v>
      </c>
      <c r="J22" s="48" t="str">
        <f ca="1">IF(MAX(Spanish!D4:D1000)=0, "-", IF(MAX(Spanish!D4:D1000)=TODAY(), "Today", IF(TODAY()-MAX(Spanish!D4:D1000)=1, "Yesterday", TODAY()-MAX(Spanish!D4:D1000) &amp; " days ago")))</f>
        <v>6 days ago</v>
      </c>
    </row>
    <row r="23" spans="1:30" ht="24.95" customHeight="1" x14ac:dyDescent="0.25">
      <c r="A23" s="24" t="s">
        <v>15</v>
      </c>
      <c r="B23" s="25">
        <f ca="1">SUMPRODUCT(COUNTIFS(INDIRECT("'Computer Science'!A4:A1000"),"?*"))</f>
        <v>6</v>
      </c>
      <c r="C23" s="25">
        <f t="shared" ca="1" si="1"/>
        <v>4</v>
      </c>
      <c r="D23" s="25">
        <f ca="1">SUMPRODUCT(COUNTIFS(INDIRECT("'Computer Science'!A4:A1000"),"?*",INDIRECT("'Computer Science'!B4:B1000"),"In Progress"))</f>
        <v>0</v>
      </c>
      <c r="E23" s="25">
        <f ca="1">SUMPRODUCT(COUNTIFS(INDIRECT("'Computer Science'!A4:A1000"),"?*",INDIRECT("'Computer Science'!B4:B1000"),"Completed"))</f>
        <v>2</v>
      </c>
      <c r="F23" s="25">
        <f ca="1">SUMPRODUCT(COUNTIFS(INDIRECT("'Computer Science'!A4:A1000"),"?*",INDIRECT("'Computer Science'!C4:C1000"),"Green"))</f>
        <v>1</v>
      </c>
      <c r="G23" s="25">
        <f ca="1">SUMPRODUCT(COUNTIFS(INDIRECT("'Computer Science'!A4:A1000"),"?*",INDIRECT("'Computer Science'!C4:C1000"),"Amber"))</f>
        <v>1</v>
      </c>
      <c r="H23" s="51">
        <f ca="1">SUMPRODUCT(COUNTIFS(INDIRECT("'Computer Science'!A4:A1000"),"?*",INDIRECT("'Computer Science'!C4:C1000"),"Red"))</f>
        <v>0</v>
      </c>
      <c r="I23" s="50">
        <f t="shared" ca="1" si="2"/>
        <v>0.33333333333333331</v>
      </c>
      <c r="J23" s="52" t="str">
        <f ca="1">IF(MAX('Computer Science'!D4:D1000)=0, "-", IF(MAX('Computer Science'!D4:D1000)=TODAY(), "Today", IF(TODAY()-MAX('Computer Science'!D4:D1000)=1, "Yesterday", TODAY()-MAX('Computer Science'!D4:D1000) &amp; " days ago")))</f>
        <v>Yesterday</v>
      </c>
    </row>
    <row r="24" spans="1:30" x14ac:dyDescent="0.25">
      <c r="A24" s="58" t="s">
        <v>41</v>
      </c>
      <c r="B24" s="59">
        <v>2</v>
      </c>
    </row>
    <row r="25" spans="1:30" ht="24.95" customHeight="1" x14ac:dyDescent="0.3">
      <c r="A25" s="38" t="s">
        <v>42</v>
      </c>
    </row>
    <row r="26" spans="1:30" ht="45" customHeight="1" x14ac:dyDescent="0.25">
      <c r="A26" s="78" t="s">
        <v>3</v>
      </c>
      <c r="B26" s="78"/>
      <c r="C26" s="78" t="s">
        <v>4</v>
      </c>
      <c r="D26" s="78"/>
      <c r="E26" s="78" t="s">
        <v>5</v>
      </c>
      <c r="F26" s="78"/>
      <c r="G26" s="78" t="s">
        <v>6</v>
      </c>
      <c r="H26" s="78"/>
      <c r="I26" s="44"/>
    </row>
    <row r="27" spans="1:30" ht="45" customHeight="1" x14ac:dyDescent="0.25">
      <c r="A27" s="79" t="str">
        <f ca="1">IFERROR(HYPERLINK("#'"&amp;INDEX(IF($B$24=1, 'Revision Timetable'!B2:E8, 'Revision Timetable'!H2:K8), MATCH(TEXT(TODAY(),"dddd"), 'Revision Timetable'!A2:A8, 0), 1)&amp;"'!A4", INDEX(IF($B$24=1, 'Revision Timetable'!B2:E8, 'Revision Timetable'!H2:K8), MATCH(TEXT(TODAY(),"dddd"), 'Revision Timetable'!A2:A8, 0), 1)), "-")</f>
        <v>Mathematics</v>
      </c>
      <c r="B27" s="81"/>
      <c r="C27" s="79" t="str">
        <f ca="1">IFERROR(HYPERLINK("#'"&amp;INDEX(IF($B$24=1, 'Revision Timetable'!B2:E8, 'Revision Timetable'!H2:K8), MATCH(TEXT(TODAY(),"dddd"), 'Revision Timetable'!A2:A8, 0), 2)&amp;"'!A4", INDEX(IF($B$24=1, 'Revision Timetable'!B2:E8, 'Revision Timetable'!H2:K8), MATCH(TEXT(TODAY(),"dddd"), 'Revision Timetable'!A2:A8, 0), 2)), "-")</f>
        <v>Chemistry</v>
      </c>
      <c r="D27" s="81"/>
      <c r="E27" s="79" t="str">
        <f ca="1">IFERROR(HYPERLINK("#'"&amp;INDEX(IF($B$24=1, 'Revision Timetable'!B2:E8, 'Revision Timetable'!H2:K8), MATCH(TEXT(TODAY(),"dddd"), 'Revision Timetable'!A2:A8, 0), 3)&amp;"'!A4", INDEX(IF($B$24=1, 'Revision Timetable'!B2:E8, 'Revision Timetable'!H2:K8), MATCH(TEXT(TODAY(),"dddd"), 'Revision Timetable'!A2:A8, 0), 3)), "-")</f>
        <v>English Language</v>
      </c>
      <c r="F27" s="81"/>
      <c r="G27" s="79" t="str">
        <f ca="1">IFERROR(HYPERLINK("#'"&amp;INDEX(IF($B$24=1, 'Revision Timetable'!B2:E8, 'Revision Timetable'!H2:K8), MATCH(TEXT(TODAY(),"dddd"), 'Revision Timetable'!A2:A8, 0), 4)&amp;"'!A4", INDEX(IF($B$24=1, 'Revision Timetable'!B2:E8, 'Revision Timetable'!H2:K8), MATCH(TEXT(TODAY(),"dddd"), 'Revision Timetable'!A2:A8, 0), 4)), "-")</f>
        <v>Biology</v>
      </c>
      <c r="H27" s="80"/>
      <c r="AA27" s="42" t="b">
        <f ca="1">IFERROR(VLOOKUP(A27, $A$13:$J$23, 9, FALSE)="Today", FALSE)</f>
        <v>0</v>
      </c>
      <c r="AB27" s="42" t="b">
        <f ca="1">IFERROR(VLOOKUP(C27, $A$13:$J$23, 9, FALSE)="Today", FALSE)</f>
        <v>0</v>
      </c>
      <c r="AC27" s="42" t="b">
        <f ca="1">IFERROR(VLOOKUP(E27, $A$13:$J$23, 9, FALSE)="Today", FALSE)</f>
        <v>0</v>
      </c>
      <c r="AD27" s="42" t="b">
        <f ca="1">IFERROR(VLOOKUP(G27, $A$13:$J$23, 9, FALSE)="Today", FALSE)</f>
        <v>0</v>
      </c>
    </row>
    <row r="28" spans="1:30" x14ac:dyDescent="0.25">
      <c r="A28" s="43" t="str">
        <f ca="1">IF(COUNTIFS($A$13:$A$23, A27, $J$13:$J$23, "Today")&gt;0, "DONE", "NOT DONE")</f>
        <v>NOT DONE</v>
      </c>
      <c r="C28" s="43" t="str">
        <f ca="1">IF(COUNTIFS($A$13:$A$23, C27, $J$13:$J$23, "Today")&gt;0, "DONE", "NOT DONE")</f>
        <v>DONE</v>
      </c>
      <c r="E28" s="43" t="str">
        <f ca="1">IF(COUNTIFS($A$13:$A$23, E27, $J$13:$J$23, "Today")&gt;0, "DONE", "NOT DONE")</f>
        <v>DONE</v>
      </c>
      <c r="G28" s="43" t="str">
        <f ca="1">IF(COUNTIFS($A$13:$A$23, G27, $J$13:$J$23, "Today")&gt;0, "DONE", "NOT DONE")</f>
        <v>NOT DONE</v>
      </c>
    </row>
  </sheetData>
  <mergeCells count="23">
    <mergeCell ref="G26:H26"/>
    <mergeCell ref="G27:H27"/>
    <mergeCell ref="A26:B26"/>
    <mergeCell ref="A27:B27"/>
    <mergeCell ref="C26:D26"/>
    <mergeCell ref="C27:D27"/>
    <mergeCell ref="E26:F26"/>
    <mergeCell ref="E27:F27"/>
    <mergeCell ref="A12:H12"/>
    <mergeCell ref="A1:L1"/>
    <mergeCell ref="A3:F3"/>
    <mergeCell ref="G6:H6"/>
    <mergeCell ref="C9:D9"/>
    <mergeCell ref="A9:B9"/>
    <mergeCell ref="A6:B6"/>
    <mergeCell ref="E6:F6"/>
    <mergeCell ref="C6:D6"/>
    <mergeCell ref="I5:J5"/>
    <mergeCell ref="I6:J6"/>
    <mergeCell ref="A8:B8"/>
    <mergeCell ref="C8:D8"/>
    <mergeCell ref="E8:F8"/>
    <mergeCell ref="E9:F9"/>
  </mergeCells>
  <conditionalFormatting sqref="A27:H27">
    <cfRule type="cellIs" dxfId="125" priority="72" stopIfTrue="1" operator="equal">
      <formula>"""DONE"""</formula>
    </cfRule>
    <cfRule type="cellIs" dxfId="124" priority="71" stopIfTrue="1" operator="equal">
      <formula>"""NOT DONE"""</formula>
    </cfRule>
  </conditionalFormatting>
  <conditionalFormatting sqref="F14:F23">
    <cfRule type="cellIs" dxfId="123" priority="1" operator="greaterThan">
      <formula>0</formula>
    </cfRule>
  </conditionalFormatting>
  <conditionalFormatting sqref="G14:G23">
    <cfRule type="cellIs" dxfId="122" priority="2" operator="greaterThan">
      <formula>0</formula>
    </cfRule>
  </conditionalFormatting>
  <conditionalFormatting sqref="H14:I23">
    <cfRule type="cellIs" dxfId="121" priority="3" operator="greaterThan">
      <formula>0</formula>
    </cfRule>
  </conditionalFormatting>
  <conditionalFormatting sqref="J14:J23">
    <cfRule type="cellIs" dxfId="120" priority="6" stopIfTrue="1" operator="equal">
      <formula>"-"</formula>
    </cfRule>
    <cfRule type="cellIs" dxfId="119" priority="7" stopIfTrue="1" operator="equal">
      <formula>"4 days ago"</formula>
    </cfRule>
    <cfRule type="cellIs" dxfId="118" priority="8" stopIfTrue="1" operator="equal">
      <formula>"5 days ago"</formula>
    </cfRule>
    <cfRule type="cellIs" dxfId="117" priority="9" stopIfTrue="1" operator="equal">
      <formula>"6 days ago"</formula>
    </cfRule>
    <cfRule type="cellIs" dxfId="116" priority="10" stopIfTrue="1" operator="equal">
      <formula>"7 days ago"</formula>
    </cfRule>
    <cfRule type="cellIs" dxfId="115" priority="11" stopIfTrue="1" operator="equal">
      <formula>"8 days ago"</formula>
    </cfRule>
    <cfRule type="cellIs" dxfId="114" priority="12" stopIfTrue="1" operator="equal">
      <formula>"9 days ago"</formula>
    </cfRule>
    <cfRule type="cellIs" dxfId="113" priority="13" stopIfTrue="1" operator="equal">
      <formula>"10 days ago"</formula>
    </cfRule>
    <cfRule type="cellIs" dxfId="112" priority="14" stopIfTrue="1" operator="equal">
      <formula>"11 days ago"</formula>
    </cfRule>
    <cfRule type="cellIs" dxfId="111" priority="15" stopIfTrue="1" operator="equal">
      <formula>"12 days ago"</formula>
    </cfRule>
    <cfRule type="cellIs" dxfId="110" priority="16" stopIfTrue="1" operator="equal">
      <formula>"13 days ago"</formula>
    </cfRule>
    <cfRule type="cellIs" dxfId="109" priority="17" stopIfTrue="1" operator="equal">
      <formula>"14 days ago"</formula>
    </cfRule>
    <cfRule type="cellIs" dxfId="108" priority="18" stopIfTrue="1" operator="equal">
      <formula>"15 days ago"</formula>
    </cfRule>
    <cfRule type="cellIs" dxfId="107" priority="19" stopIfTrue="1" operator="equal">
      <formula>"16 days ago"</formula>
    </cfRule>
    <cfRule type="cellIs" dxfId="106" priority="20" stopIfTrue="1" operator="equal">
      <formula>"17 days ago"</formula>
    </cfRule>
    <cfRule type="cellIs" dxfId="105" priority="21" stopIfTrue="1" operator="equal">
      <formula>"18 days ago"</formula>
    </cfRule>
    <cfRule type="cellIs" dxfId="104" priority="22" stopIfTrue="1" operator="equal">
      <formula>"19 days ago"</formula>
    </cfRule>
    <cfRule type="cellIs" dxfId="103" priority="23" stopIfTrue="1" operator="equal">
      <formula>"20 days ago"</formula>
    </cfRule>
    <cfRule type="cellIs" dxfId="102" priority="24" stopIfTrue="1" operator="equal">
      <formula>"21 days ago"</formula>
    </cfRule>
    <cfRule type="cellIs" dxfId="101" priority="25" stopIfTrue="1" operator="equal">
      <formula>"22 days ago"</formula>
    </cfRule>
    <cfRule type="cellIs" dxfId="100" priority="26" stopIfTrue="1" operator="equal">
      <formula>"23 days ago"</formula>
    </cfRule>
    <cfRule type="cellIs" dxfId="99" priority="27" stopIfTrue="1" operator="equal">
      <formula>"24 days ago"</formula>
    </cfRule>
    <cfRule type="cellIs" dxfId="98" priority="28" stopIfTrue="1" operator="equal">
      <formula>"25 days ago"</formula>
    </cfRule>
    <cfRule type="cellIs" dxfId="97" priority="29" stopIfTrue="1" operator="equal">
      <formula>"26 days ago"</formula>
    </cfRule>
    <cfRule type="cellIs" dxfId="96" priority="30" stopIfTrue="1" operator="equal">
      <formula>"27 days ago"</formula>
    </cfRule>
    <cfRule type="cellIs" dxfId="95" priority="31" stopIfTrue="1" operator="equal">
      <formula>"28 days ago"</formula>
    </cfRule>
    <cfRule type="cellIs" dxfId="94" priority="32" stopIfTrue="1" operator="equal">
      <formula>"29 days ago"</formula>
    </cfRule>
    <cfRule type="cellIs" dxfId="93" priority="33" stopIfTrue="1" operator="equal">
      <formula>"30 days ago"</formula>
    </cfRule>
    <cfRule type="cellIs" dxfId="92" priority="34" stopIfTrue="1" operator="equal">
      <formula>"31 days ago"</formula>
    </cfRule>
    <cfRule type="cellIs" dxfId="91" priority="35" stopIfTrue="1" operator="equal">
      <formula>"32 days ago"</formula>
    </cfRule>
    <cfRule type="cellIs" dxfId="90" priority="36" stopIfTrue="1" operator="equal">
      <formula>"33 days ago"</formula>
    </cfRule>
    <cfRule type="cellIs" dxfId="89" priority="37" stopIfTrue="1" operator="equal">
      <formula>"34 days ago"</formula>
    </cfRule>
    <cfRule type="cellIs" dxfId="88" priority="38" stopIfTrue="1" operator="equal">
      <formula>"35 days ago"</formula>
    </cfRule>
    <cfRule type="cellIs" dxfId="87" priority="39" stopIfTrue="1" operator="equal">
      <formula>"36 days ago"</formula>
    </cfRule>
    <cfRule type="cellIs" dxfId="86" priority="40" stopIfTrue="1" operator="equal">
      <formula>"37 days ago"</formula>
    </cfRule>
    <cfRule type="cellIs" dxfId="85" priority="41" stopIfTrue="1" operator="equal">
      <formula>"38 days ago"</formula>
    </cfRule>
    <cfRule type="cellIs" dxfId="84" priority="42" stopIfTrue="1" operator="equal">
      <formula>"39 days ago"</formula>
    </cfRule>
    <cfRule type="cellIs" dxfId="83" priority="43" stopIfTrue="1" operator="equal">
      <formula>"40 days ago"</formula>
    </cfRule>
    <cfRule type="cellIs" dxfId="82" priority="44" stopIfTrue="1" operator="equal">
      <formula>"41 days ago"</formula>
    </cfRule>
    <cfRule type="cellIs" dxfId="81" priority="45" stopIfTrue="1" operator="equal">
      <formula>"42 days ago"</formula>
    </cfRule>
    <cfRule type="cellIs" dxfId="80" priority="46" stopIfTrue="1" operator="equal">
      <formula>"43 days ago"</formula>
    </cfRule>
    <cfRule type="cellIs" dxfId="79" priority="47" stopIfTrue="1" operator="equal">
      <formula>"44 days ago"</formula>
    </cfRule>
    <cfRule type="cellIs" dxfId="78" priority="48" stopIfTrue="1" operator="equal">
      <formula>"45 days ago"</formula>
    </cfRule>
    <cfRule type="cellIs" dxfId="77" priority="49" stopIfTrue="1" operator="equal">
      <formula>"46 days ago"</formula>
    </cfRule>
    <cfRule type="cellIs" dxfId="76" priority="4" stopIfTrue="1" operator="equal">
      <formula>"Today"</formula>
    </cfRule>
    <cfRule type="cellIs" dxfId="75" priority="51" stopIfTrue="1" operator="equal">
      <formula>"48 days ago"</formula>
    </cfRule>
    <cfRule type="cellIs" dxfId="74" priority="52" stopIfTrue="1" operator="equal">
      <formula>"49 days ago"</formula>
    </cfRule>
    <cfRule type="cellIs" dxfId="73" priority="53" stopIfTrue="1" operator="equal">
      <formula>"50 days ago"</formula>
    </cfRule>
    <cfRule type="cellIs" dxfId="72" priority="54" stopIfTrue="1" operator="equal">
      <formula>"51 days ago"</formula>
    </cfRule>
    <cfRule type="cellIs" dxfId="71" priority="55" stopIfTrue="1" operator="equal">
      <formula>"52 days ago"</formula>
    </cfRule>
    <cfRule type="cellIs" dxfId="70" priority="56" stopIfTrue="1" operator="equal">
      <formula>"53 days ago"</formula>
    </cfRule>
    <cfRule type="cellIs" dxfId="69" priority="57" stopIfTrue="1" operator="equal">
      <formula>"54 days ago"</formula>
    </cfRule>
    <cfRule type="cellIs" dxfId="68" priority="50" stopIfTrue="1" operator="equal">
      <formula>"47 days ago"</formula>
    </cfRule>
    <cfRule type="cellIs" dxfId="67" priority="59" stopIfTrue="1" operator="equal">
      <formula>"56 days ago"</formula>
    </cfRule>
    <cfRule type="cellIs" dxfId="66" priority="60" stopIfTrue="1" operator="equal">
      <formula>"57 days ago"</formula>
    </cfRule>
    <cfRule type="cellIs" dxfId="65" priority="61" stopIfTrue="1" operator="equal">
      <formula>"58 days ago"</formula>
    </cfRule>
    <cfRule type="cellIs" dxfId="64" priority="62" stopIfTrue="1" operator="equal">
      <formula>"59 days ago"</formula>
    </cfRule>
    <cfRule type="cellIs" dxfId="63" priority="63" stopIfTrue="1" operator="equal">
      <formula>"2 days ago"</formula>
    </cfRule>
    <cfRule type="cellIs" dxfId="62" priority="64" stopIfTrue="1" operator="equal">
      <formula>"3 days ago"</formula>
    </cfRule>
    <cfRule type="cellIs" dxfId="61" priority="5" stopIfTrue="1" operator="equal">
      <formula>"Yesterday"</formula>
    </cfRule>
    <cfRule type="cellIs" dxfId="60" priority="58" stopIfTrue="1" operator="equal">
      <formula>"55 days ago"</formula>
    </cfRule>
  </conditionalFormatting>
  <dataValidations count="1">
    <dataValidation type="list" allowBlank="1" showInputMessage="1" showErrorMessage="1" sqref="B24" xr:uid="{85B2A4AA-0944-47D2-80C2-DA47B61323AE}">
      <formula1>"1,2"</formula1>
    </dataValidation>
  </dataValidations>
  <hyperlinks>
    <hyperlink ref="A14" location="'Biology'!A4" display="Biology" xr:uid="{0349109F-4BAF-4BDF-8B1C-9AE599A8D6EC}"/>
    <hyperlink ref="A15" location="'Chemistry'!A4" display="Chemistry" xr:uid="{E53CEB35-8360-4491-9D51-BE05A96C3677}"/>
    <hyperlink ref="A16" location="'Physics'!A4" display="Physics" xr:uid="{1148B904-6BC4-4105-ACB3-C1CF3AF4E04E}"/>
    <hyperlink ref="A17" location="'Mathematics'!A4" display="Mathematics" xr:uid="{C56B0711-69FE-4938-BC73-EF018A9EAC8C}"/>
    <hyperlink ref="A18" location="'English Language'!A4" display="English Language" xr:uid="{2A21F88B-EF79-4279-89B5-16E8E6BB56D1}"/>
    <hyperlink ref="A19" location="'English Literature'!A4" display="English Literature" xr:uid="{50679304-CA87-4BA0-BE1F-435A2838AFD9}"/>
    <hyperlink ref="A20" location="'Geography'!A4" display="Geography" xr:uid="{088F192C-DCF6-4271-A48F-E7F855795932}"/>
    <hyperlink ref="A21" location="'History'!A4" display="History" xr:uid="{4E898780-31B2-443F-8402-72ED2C3DFD09}"/>
    <hyperlink ref="A22" location="'Spanish'!A4" display="Spanish" xr:uid="{AD1DD75D-86CF-4DA9-B801-23C39D7A095A}"/>
    <hyperlink ref="A23" location="'Computer Science'!A4" display="Computer Science" xr:uid="{3C3204D2-FCC7-4B44-8E31-E949073AD937}"/>
  </hyperlinks>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zoomScaleNormal="100" workbookViewId="0">
      <pane ySplit="3" topLeftCell="A7" activePane="bottomLeft" state="frozen"/>
      <selection pane="bottomLeft" activeCell="A4" sqref="A4"/>
    </sheetView>
  </sheetViews>
  <sheetFormatPr defaultRowHeight="15" x14ac:dyDescent="0.25"/>
  <cols>
    <col min="1" max="1" width="30.85546875" customWidth="1"/>
    <col min="2" max="2" width="14" customWidth="1"/>
    <col min="3" max="3" width="19" customWidth="1"/>
    <col min="4" max="4" width="19.28515625" style="18" customWidth="1"/>
    <col min="5" max="5" width="38" customWidth="1"/>
    <col min="6" max="6" width="55.7109375" customWidth="1"/>
  </cols>
  <sheetData>
    <row r="1" spans="1:6" ht="32.1" customHeight="1" x14ac:dyDescent="0.25">
      <c r="A1" s="82" t="s">
        <v>43</v>
      </c>
      <c r="B1" s="62"/>
      <c r="C1" s="62"/>
      <c r="D1" s="62"/>
      <c r="E1" s="62"/>
    </row>
    <row r="2" spans="1:6" ht="18" customHeight="1" x14ac:dyDescent="0.25">
      <c r="A2" s="28" t="s">
        <v>44</v>
      </c>
      <c r="B2" s="1"/>
      <c r="C2" s="1"/>
      <c r="D2" s="16"/>
      <c r="E2" s="1"/>
    </row>
    <row r="3" spans="1:6" ht="26.1" customHeight="1" x14ac:dyDescent="0.25">
      <c r="A3" s="7" t="s">
        <v>45</v>
      </c>
      <c r="B3" s="7" t="s">
        <v>46</v>
      </c>
      <c r="C3" s="7" t="s">
        <v>47</v>
      </c>
      <c r="D3" s="17" t="s">
        <v>40</v>
      </c>
      <c r="E3" s="7" t="s">
        <v>48</v>
      </c>
      <c r="F3" s="32" t="s">
        <v>49</v>
      </c>
    </row>
    <row r="4" spans="1:6" ht="99.75" customHeight="1" x14ac:dyDescent="0.25">
      <c r="A4" s="8" t="s">
        <v>50</v>
      </c>
      <c r="B4" s="9" t="s">
        <v>31</v>
      </c>
      <c r="C4" s="9" t="s">
        <v>38</v>
      </c>
      <c r="D4" s="10">
        <v>46313</v>
      </c>
      <c r="E4" s="33" t="s">
        <v>51</v>
      </c>
      <c r="F4" s="35" t="s">
        <v>52</v>
      </c>
    </row>
    <row r="5" spans="1:6" ht="71.25" customHeight="1" x14ac:dyDescent="0.25">
      <c r="A5" s="31" t="s">
        <v>53</v>
      </c>
      <c r="B5" s="9" t="s">
        <v>31</v>
      </c>
      <c r="C5" s="9" t="s">
        <v>38</v>
      </c>
      <c r="D5" s="10">
        <v>46316</v>
      </c>
      <c r="E5" s="33" t="s">
        <v>54</v>
      </c>
      <c r="F5" s="35"/>
    </row>
    <row r="6" spans="1:6" ht="99" customHeight="1" x14ac:dyDescent="0.25">
      <c r="A6" s="31" t="s">
        <v>55</v>
      </c>
      <c r="B6" s="9" t="s">
        <v>31</v>
      </c>
      <c r="C6" s="9" t="s">
        <v>38</v>
      </c>
      <c r="D6" s="10">
        <v>46317</v>
      </c>
      <c r="E6" s="33" t="s">
        <v>56</v>
      </c>
      <c r="F6" s="35"/>
    </row>
    <row r="7" spans="1:6" ht="106.5" customHeight="1" x14ac:dyDescent="0.25">
      <c r="A7" s="31" t="s">
        <v>57</v>
      </c>
      <c r="B7" s="9" t="s">
        <v>31</v>
      </c>
      <c r="C7" s="9" t="s">
        <v>38</v>
      </c>
      <c r="D7" s="10">
        <v>46319</v>
      </c>
      <c r="E7" s="33" t="s">
        <v>58</v>
      </c>
      <c r="F7" s="35"/>
    </row>
    <row r="8" spans="1:6" ht="108" customHeight="1" x14ac:dyDescent="0.25">
      <c r="A8" s="8" t="s">
        <v>59</v>
      </c>
      <c r="B8" s="9"/>
      <c r="C8" s="9"/>
      <c r="D8" s="10"/>
      <c r="E8" s="33"/>
      <c r="F8" s="35"/>
    </row>
    <row r="9" spans="1:6" ht="66" customHeight="1" x14ac:dyDescent="0.25">
      <c r="A9" s="8" t="s">
        <v>60</v>
      </c>
      <c r="B9" s="9"/>
      <c r="C9" s="9"/>
      <c r="D9" s="10"/>
      <c r="E9" s="33"/>
      <c r="F9" s="35"/>
    </row>
    <row r="10" spans="1:6" ht="75" customHeight="1" x14ac:dyDescent="0.25">
      <c r="A10" s="8" t="s">
        <v>61</v>
      </c>
      <c r="B10" s="9" t="s">
        <v>31</v>
      </c>
      <c r="C10" s="9" t="s">
        <v>38</v>
      </c>
      <c r="D10" s="10">
        <v>46319</v>
      </c>
      <c r="E10" s="33" t="s">
        <v>62</v>
      </c>
      <c r="F10" s="35"/>
    </row>
    <row r="11" spans="1:6" ht="99" customHeight="1" x14ac:dyDescent="0.25">
      <c r="A11" s="8" t="s">
        <v>63</v>
      </c>
      <c r="B11" s="9"/>
      <c r="C11" s="9"/>
      <c r="D11" s="10"/>
      <c r="E11" s="33"/>
      <c r="F11" s="35"/>
    </row>
    <row r="12" spans="1:6" ht="45.75" customHeight="1" x14ac:dyDescent="0.25">
      <c r="A12" s="8"/>
      <c r="B12" s="9"/>
      <c r="C12" s="9"/>
      <c r="D12" s="10"/>
      <c r="E12" s="33"/>
      <c r="F12" s="35"/>
    </row>
    <row r="13" spans="1:6" ht="24" customHeight="1" x14ac:dyDescent="0.25">
      <c r="A13" s="8"/>
      <c r="B13" s="9"/>
      <c r="C13" s="9"/>
      <c r="D13" s="10"/>
      <c r="E13" s="33"/>
      <c r="F13" s="35"/>
    </row>
    <row r="14" spans="1:6" ht="24" customHeight="1" x14ac:dyDescent="0.25">
      <c r="A14" s="8"/>
      <c r="B14" s="9"/>
      <c r="C14" s="9"/>
      <c r="D14" s="10"/>
      <c r="E14" s="33"/>
      <c r="F14" s="35"/>
    </row>
    <row r="15" spans="1:6" ht="24" customHeight="1" x14ac:dyDescent="0.25">
      <c r="A15" s="8"/>
      <c r="B15" s="9"/>
      <c r="C15" s="9"/>
      <c r="D15" s="10"/>
      <c r="E15" s="33"/>
      <c r="F15" s="35"/>
    </row>
    <row r="16" spans="1:6" ht="24" customHeight="1" x14ac:dyDescent="0.25">
      <c r="A16" s="8"/>
      <c r="B16" s="9"/>
      <c r="C16" s="9"/>
      <c r="D16" s="10"/>
      <c r="E16" s="33"/>
      <c r="F16" s="35"/>
    </row>
    <row r="17" spans="1:6" ht="24" customHeight="1" x14ac:dyDescent="0.25">
      <c r="A17" s="8"/>
      <c r="B17" s="9"/>
      <c r="C17" s="9"/>
      <c r="D17" s="10"/>
      <c r="E17" s="33"/>
      <c r="F17" s="35"/>
    </row>
    <row r="18" spans="1:6" ht="24" customHeight="1" x14ac:dyDescent="0.25">
      <c r="A18" s="8"/>
      <c r="B18" s="9"/>
      <c r="C18" s="9"/>
      <c r="D18" s="10"/>
      <c r="E18" s="33"/>
      <c r="F18" s="34"/>
    </row>
    <row r="19" spans="1:6" ht="24" customHeight="1" x14ac:dyDescent="0.25">
      <c r="A19" s="2"/>
      <c r="B19" s="3"/>
      <c r="C19" s="3"/>
      <c r="D19" s="4"/>
      <c r="E19" s="2"/>
      <c r="F19" s="1"/>
    </row>
    <row r="20" spans="1:6" ht="24" customHeight="1" x14ac:dyDescent="0.25">
      <c r="A20" s="2"/>
      <c r="B20" s="3"/>
      <c r="C20" s="3"/>
      <c r="D20" s="4"/>
      <c r="E20" s="2"/>
      <c r="F20" s="1"/>
    </row>
    <row r="21" spans="1:6" ht="24" customHeight="1" x14ac:dyDescent="0.25">
      <c r="A21" s="2"/>
      <c r="B21" s="3"/>
      <c r="C21" s="3"/>
      <c r="D21" s="4"/>
      <c r="E21" s="2"/>
      <c r="F21" s="1"/>
    </row>
    <row r="22" spans="1:6" ht="24" customHeight="1" x14ac:dyDescent="0.25">
      <c r="A22" s="2"/>
      <c r="B22" s="3"/>
      <c r="C22" s="3"/>
      <c r="D22" s="4"/>
      <c r="E22" s="2"/>
      <c r="F22" s="1"/>
    </row>
    <row r="23" spans="1:6" ht="24" customHeight="1" x14ac:dyDescent="0.25">
      <c r="A23" s="2"/>
      <c r="B23" s="3"/>
      <c r="C23" s="3"/>
      <c r="D23" s="4"/>
      <c r="E23" s="2"/>
      <c r="F23" s="1"/>
    </row>
    <row r="24" spans="1:6" ht="24" customHeight="1" x14ac:dyDescent="0.25">
      <c r="A24" s="2"/>
      <c r="B24" s="3"/>
      <c r="C24" s="3"/>
      <c r="D24" s="4"/>
      <c r="E24" s="2"/>
      <c r="F24" s="1"/>
    </row>
    <row r="25" spans="1:6" ht="24" customHeight="1" x14ac:dyDescent="0.25">
      <c r="A25" s="2"/>
      <c r="B25" s="3"/>
      <c r="C25" s="3"/>
      <c r="D25" s="4"/>
      <c r="E25" s="2"/>
      <c r="F25" s="1"/>
    </row>
    <row r="26" spans="1:6" ht="24" customHeight="1" x14ac:dyDescent="0.25">
      <c r="A26" s="2"/>
      <c r="B26" s="3"/>
      <c r="C26" s="3"/>
      <c r="D26" s="4"/>
      <c r="E26" s="2"/>
      <c r="F26" s="1"/>
    </row>
    <row r="27" spans="1:6" ht="24" customHeight="1" x14ac:dyDescent="0.25">
      <c r="A27" s="2"/>
      <c r="B27" s="3"/>
      <c r="C27" s="3"/>
      <c r="D27" s="4"/>
      <c r="E27" s="2"/>
      <c r="F27" s="1"/>
    </row>
  </sheetData>
  <mergeCells count="1">
    <mergeCell ref="A1:E1"/>
  </mergeCells>
  <conditionalFormatting sqref="B4:B18">
    <cfRule type="cellIs" dxfId="59" priority="5" operator="equal">
      <formula>"Not Started"</formula>
    </cfRule>
    <cfRule type="cellIs" dxfId="58" priority="6" operator="equal">
      <formula>"In Progress"</formula>
    </cfRule>
    <cfRule type="cellIs" dxfId="57" priority="7" operator="equal">
      <formula>"Completed"</formula>
    </cfRule>
  </conditionalFormatting>
  <conditionalFormatting sqref="C4:C18">
    <cfRule type="cellIs" dxfId="56" priority="1" operator="equal">
      <formula>"Green"</formula>
    </cfRule>
    <cfRule type="cellIs" dxfId="55" priority="2" operator="equal">
      <formula>"Amber"</formula>
    </cfRule>
    <cfRule type="cellIs" dxfId="54" priority="3" operator="equal">
      <formula>"Red"</formula>
    </cfRule>
  </conditionalFormatting>
  <dataValidations count="3">
    <dataValidation type="list" allowBlank="1" sqref="B4:B18" xr:uid="{00000000-0002-0000-0100-000000000000}">
      <formula1>"Not Started,In Progress,Completed"</formula1>
    </dataValidation>
    <dataValidation type="list" allowBlank="1" sqref="E4:E18" xr:uid="{00000000-0002-0000-01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2DDAFB8-BF9B-4F5D-A8ED-9DC855F98BAD}">
      <formula1>"Green,Amber,Red"</formula1>
    </dataValidation>
  </dataValidations>
  <hyperlinks>
    <hyperlink ref="A2" location="'Dashboard'!A1" display="&lt; Return to Dashboard" xr:uid="{8A03291B-F8D4-418A-93F5-59B218A2B237}"/>
  </hyperlink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8"/>
  <sheetViews>
    <sheetView showGridLines="0" workbookViewId="0">
      <pane ySplit="3" topLeftCell="A4" activePane="bottomLeft" state="frozen"/>
      <selection pane="bottomLeft" activeCell="A2" sqref="A2"/>
    </sheetView>
  </sheetViews>
  <sheetFormatPr defaultRowHeight="15" x14ac:dyDescent="0.25"/>
  <cols>
    <col min="1" max="1" width="36" customWidth="1"/>
    <col min="2" max="3" width="14" customWidth="1"/>
    <col min="4" max="4" width="15" style="18" customWidth="1"/>
    <col min="5" max="5" width="38" customWidth="1"/>
    <col min="6" max="6" width="55.7109375" customWidth="1"/>
  </cols>
  <sheetData>
    <row r="1" spans="1:6" ht="32.1" customHeight="1" x14ac:dyDescent="0.25">
      <c r="A1" s="83" t="s">
        <v>64</v>
      </c>
      <c r="B1" s="62"/>
      <c r="C1" s="62"/>
      <c r="D1" s="62"/>
      <c r="E1" s="62"/>
    </row>
    <row r="2" spans="1:6" ht="18" customHeight="1" x14ac:dyDescent="0.25">
      <c r="A2" s="29" t="s">
        <v>44</v>
      </c>
    </row>
    <row r="3" spans="1:6" ht="26.1" customHeight="1" x14ac:dyDescent="0.25">
      <c r="A3" s="6" t="s">
        <v>45</v>
      </c>
      <c r="B3" s="6" t="s">
        <v>46</v>
      </c>
      <c r="C3" s="6" t="s">
        <v>47</v>
      </c>
      <c r="D3" s="19" t="s">
        <v>40</v>
      </c>
      <c r="E3" s="6" t="s">
        <v>48</v>
      </c>
      <c r="F3" s="6" t="s">
        <v>49</v>
      </c>
    </row>
    <row r="4" spans="1:6" ht="80.25" customHeight="1" x14ac:dyDescent="0.25">
      <c r="A4" s="56" t="s">
        <v>65</v>
      </c>
      <c r="B4" s="9" t="s">
        <v>31</v>
      </c>
      <c r="C4" s="9" t="s">
        <v>38</v>
      </c>
      <c r="D4" s="10">
        <v>46315</v>
      </c>
      <c r="E4" s="33" t="s">
        <v>66</v>
      </c>
      <c r="F4" s="35" t="s">
        <v>153</v>
      </c>
    </row>
    <row r="5" spans="1:6" ht="84.75" customHeight="1" x14ac:dyDescent="0.25">
      <c r="A5" s="31" t="s">
        <v>67</v>
      </c>
      <c r="B5" s="9" t="s">
        <v>31</v>
      </c>
      <c r="C5" s="9" t="s">
        <v>38</v>
      </c>
      <c r="D5" s="10">
        <v>46318</v>
      </c>
      <c r="E5" s="33" t="s">
        <v>68</v>
      </c>
      <c r="F5" s="35"/>
    </row>
    <row r="6" spans="1:6" ht="35.25" customHeight="1" x14ac:dyDescent="0.25">
      <c r="A6" s="31" t="s">
        <v>69</v>
      </c>
      <c r="B6" s="9" t="s">
        <v>31</v>
      </c>
      <c r="C6" s="9" t="s">
        <v>38</v>
      </c>
      <c r="D6" s="10">
        <v>46318</v>
      </c>
      <c r="E6" s="33" t="s">
        <v>70</v>
      </c>
      <c r="F6" s="35"/>
    </row>
    <row r="7" spans="1:6" ht="60" customHeight="1" x14ac:dyDescent="0.25">
      <c r="A7" s="31" t="s">
        <v>71</v>
      </c>
      <c r="B7" s="9" t="s">
        <v>31</v>
      </c>
      <c r="C7" s="9" t="s">
        <v>38</v>
      </c>
      <c r="D7" s="10">
        <v>46323</v>
      </c>
      <c r="E7" s="33" t="s">
        <v>72</v>
      </c>
      <c r="F7" s="35"/>
    </row>
    <row r="8" spans="1:6" ht="65.25" customHeight="1" x14ac:dyDescent="0.25">
      <c r="A8" s="31" t="s">
        <v>73</v>
      </c>
      <c r="B8" s="9"/>
      <c r="C8" s="9"/>
      <c r="D8" s="10"/>
      <c r="E8" s="33"/>
      <c r="F8" s="35"/>
    </row>
    <row r="9" spans="1:6" ht="33" customHeight="1" x14ac:dyDescent="0.25">
      <c r="A9" s="31" t="s">
        <v>74</v>
      </c>
      <c r="B9" s="9"/>
      <c r="C9" s="9"/>
      <c r="D9" s="10"/>
      <c r="E9" s="33"/>
      <c r="F9" s="35"/>
    </row>
    <row r="10" spans="1:6" ht="61.5" customHeight="1" x14ac:dyDescent="0.25">
      <c r="A10" s="57" t="s">
        <v>75</v>
      </c>
      <c r="B10" s="9"/>
      <c r="C10" s="9"/>
      <c r="D10" s="10"/>
      <c r="E10" s="33"/>
      <c r="F10" s="35"/>
    </row>
    <row r="11" spans="1:6" ht="30" customHeight="1" x14ac:dyDescent="0.25">
      <c r="A11" s="60" t="s">
        <v>76</v>
      </c>
      <c r="B11" s="9"/>
      <c r="C11" s="9"/>
      <c r="D11" s="10"/>
      <c r="E11" s="33"/>
      <c r="F11" s="35"/>
    </row>
    <row r="12" spans="1:6" ht="36.75" customHeight="1" x14ac:dyDescent="0.25">
      <c r="A12" s="8"/>
      <c r="B12" s="9"/>
      <c r="C12" s="9"/>
      <c r="D12" s="10"/>
      <c r="E12" s="33"/>
      <c r="F12" s="35"/>
    </row>
    <row r="13" spans="1:6" ht="24" customHeight="1" x14ac:dyDescent="0.25">
      <c r="A13" s="8"/>
      <c r="B13" s="9"/>
      <c r="C13" s="9"/>
      <c r="D13" s="10"/>
      <c r="E13" s="33"/>
      <c r="F13" s="35"/>
    </row>
    <row r="14" spans="1:6" ht="24" customHeight="1" x14ac:dyDescent="0.25">
      <c r="A14" s="8"/>
      <c r="B14" s="9"/>
      <c r="C14" s="9"/>
      <c r="D14" s="10"/>
      <c r="E14" s="33"/>
      <c r="F14" s="35"/>
    </row>
    <row r="15" spans="1:6" ht="24" customHeight="1" x14ac:dyDescent="0.25">
      <c r="A15" s="8"/>
      <c r="B15" s="9"/>
      <c r="C15" s="9"/>
      <c r="D15" s="10"/>
      <c r="E15" s="33"/>
      <c r="F15" s="35"/>
    </row>
    <row r="16" spans="1:6" ht="24" customHeight="1" x14ac:dyDescent="0.25">
      <c r="A16" s="8"/>
      <c r="B16" s="9"/>
      <c r="C16" s="9"/>
      <c r="D16" s="10"/>
      <c r="E16" s="33"/>
      <c r="F16" s="35"/>
    </row>
    <row r="17" spans="1:6" ht="24" customHeight="1" x14ac:dyDescent="0.25">
      <c r="A17" s="8"/>
      <c r="B17" s="9"/>
      <c r="C17" s="9"/>
      <c r="D17" s="10"/>
      <c r="E17" s="33"/>
      <c r="F17" s="35"/>
    </row>
    <row r="18" spans="1:6" ht="24" customHeight="1" x14ac:dyDescent="0.25">
      <c r="A18" s="8"/>
      <c r="B18" s="9"/>
      <c r="C18" s="9"/>
      <c r="D18" s="10"/>
      <c r="E18" s="33"/>
      <c r="F18" s="35"/>
    </row>
  </sheetData>
  <mergeCells count="1">
    <mergeCell ref="A1:E1"/>
  </mergeCells>
  <conditionalFormatting sqref="B4:B18">
    <cfRule type="cellIs" dxfId="53" priority="5" operator="equal">
      <formula>"Not Started"</formula>
    </cfRule>
    <cfRule type="cellIs" dxfId="52" priority="6" operator="equal">
      <formula>"In Progress"</formula>
    </cfRule>
    <cfRule type="cellIs" dxfId="51" priority="7" operator="equal">
      <formula>"Completed"</formula>
    </cfRule>
  </conditionalFormatting>
  <conditionalFormatting sqref="C4:C18">
    <cfRule type="cellIs" dxfId="50" priority="1" operator="equal">
      <formula>"Green"</formula>
    </cfRule>
    <cfRule type="cellIs" dxfId="49" priority="2" operator="equal">
      <formula>"Amber"</formula>
    </cfRule>
    <cfRule type="cellIs" dxfId="48" priority="3" operator="equal">
      <formula>"Red"</formula>
    </cfRule>
  </conditionalFormatting>
  <dataValidations count="3">
    <dataValidation type="list" allowBlank="1" sqref="B4:B18" xr:uid="{00000000-0002-0000-0200-000000000000}">
      <formula1>"Not Started,In Progress,Completed"</formula1>
    </dataValidation>
    <dataValidation type="list" allowBlank="1" sqref="E4:E18" xr:uid="{00000000-0002-0000-02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E06F1AA-5F0C-45A1-A46C-CC888BD2EA15}">
      <formula1>"Green,Amber,Red"</formula1>
    </dataValidation>
  </dataValidations>
  <hyperlinks>
    <hyperlink ref="A2" location="'Dashboard'!A1" display="&lt; Return to Dashboard" xr:uid="{A1561012-92F3-4FD4-A7F0-0E0081A70D27}"/>
  </hyperlink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showGridLines="0" workbookViewId="0">
      <pane ySplit="3" topLeftCell="A4" activePane="bottomLeft" state="frozen"/>
      <selection pane="bottomLeft" activeCell="C7" sqref="C7"/>
    </sheetView>
  </sheetViews>
  <sheetFormatPr defaultRowHeight="15" x14ac:dyDescent="0.25"/>
  <cols>
    <col min="1" max="1" width="36" customWidth="1"/>
    <col min="2" max="3" width="14" customWidth="1"/>
    <col min="4" max="4" width="21.140625" style="18" customWidth="1"/>
    <col min="5" max="5" width="38" customWidth="1"/>
    <col min="6" max="6" width="55.7109375" customWidth="1"/>
  </cols>
  <sheetData>
    <row r="1" spans="1:6" ht="32.1" customHeight="1" x14ac:dyDescent="0.25">
      <c r="A1" s="83" t="s">
        <v>77</v>
      </c>
      <c r="B1" s="62"/>
      <c r="C1" s="62"/>
      <c r="D1" s="62"/>
      <c r="E1" s="62"/>
    </row>
    <row r="2" spans="1:6" ht="18" customHeight="1" x14ac:dyDescent="0.25">
      <c r="A2" s="30" t="s">
        <v>44</v>
      </c>
    </row>
    <row r="3" spans="1:6" ht="26.1" customHeight="1" x14ac:dyDescent="0.25">
      <c r="A3" s="6" t="s">
        <v>45</v>
      </c>
      <c r="B3" s="6" t="s">
        <v>46</v>
      </c>
      <c r="C3" s="6" t="s">
        <v>47</v>
      </c>
      <c r="D3" s="19" t="s">
        <v>40</v>
      </c>
      <c r="E3" s="6" t="s">
        <v>48</v>
      </c>
      <c r="F3" s="36" t="s">
        <v>49</v>
      </c>
    </row>
    <row r="4" spans="1:6" ht="92.25" customHeight="1" x14ac:dyDescent="0.25">
      <c r="A4" s="31" t="s">
        <v>78</v>
      </c>
      <c r="B4" s="9" t="s">
        <v>31</v>
      </c>
      <c r="C4" s="9" t="s">
        <v>38</v>
      </c>
      <c r="D4" s="10">
        <v>46314</v>
      </c>
      <c r="E4" s="33" t="s">
        <v>79</v>
      </c>
      <c r="F4" s="35" t="s">
        <v>80</v>
      </c>
    </row>
    <row r="5" spans="1:6" ht="57" customHeight="1" x14ac:dyDescent="0.25">
      <c r="A5" s="31" t="s">
        <v>81</v>
      </c>
      <c r="B5" s="9" t="s">
        <v>31</v>
      </c>
      <c r="C5" s="9" t="s">
        <v>38</v>
      </c>
      <c r="D5" s="10">
        <v>46316</v>
      </c>
      <c r="E5" s="33" t="s">
        <v>82</v>
      </c>
      <c r="F5" s="35"/>
    </row>
    <row r="6" spans="1:6" ht="71.25" customHeight="1" x14ac:dyDescent="0.3">
      <c r="A6" s="55" t="s">
        <v>83</v>
      </c>
      <c r="B6" s="9" t="s">
        <v>31</v>
      </c>
      <c r="C6" s="9" t="s">
        <v>38</v>
      </c>
      <c r="D6" s="10">
        <v>46316</v>
      </c>
      <c r="E6" s="33" t="s">
        <v>82</v>
      </c>
      <c r="F6" s="35"/>
    </row>
    <row r="7" spans="1:6" ht="63" customHeight="1" x14ac:dyDescent="0.25">
      <c r="A7" s="56" t="s">
        <v>84</v>
      </c>
      <c r="B7" s="9" t="s">
        <v>31</v>
      </c>
      <c r="C7" s="9" t="s">
        <v>38</v>
      </c>
      <c r="D7" s="10">
        <v>46322</v>
      </c>
      <c r="E7" s="33" t="s">
        <v>85</v>
      </c>
      <c r="F7" s="35"/>
    </row>
    <row r="8" spans="1:6" ht="89.25" customHeight="1" x14ac:dyDescent="0.25">
      <c r="A8" s="56" t="s">
        <v>86</v>
      </c>
      <c r="B8" s="9"/>
      <c r="C8" s="9"/>
      <c r="D8" s="10"/>
      <c r="E8" s="33"/>
      <c r="F8" s="35"/>
    </row>
    <row r="9" spans="1:6" ht="72.75" customHeight="1" x14ac:dyDescent="0.25">
      <c r="A9" s="56" t="s">
        <v>87</v>
      </c>
      <c r="B9" s="9"/>
      <c r="C9" s="9"/>
      <c r="D9" s="10"/>
      <c r="E9" s="33"/>
      <c r="F9" s="35"/>
    </row>
    <row r="10" spans="1:6" ht="94.5" customHeight="1" x14ac:dyDescent="0.25">
      <c r="A10" s="56" t="s">
        <v>88</v>
      </c>
      <c r="B10" s="9"/>
      <c r="C10" s="9"/>
      <c r="D10" s="10"/>
      <c r="E10" s="33"/>
      <c r="F10" s="35"/>
    </row>
    <row r="11" spans="1:6" ht="75.75" customHeight="1" x14ac:dyDescent="0.25">
      <c r="A11" s="56"/>
      <c r="B11" s="9"/>
      <c r="C11" s="9"/>
      <c r="D11" s="10"/>
      <c r="E11" s="33"/>
      <c r="F11" s="35"/>
    </row>
    <row r="12" spans="1:6" ht="38.25" customHeight="1" x14ac:dyDescent="0.25">
      <c r="A12" s="8"/>
      <c r="B12" s="9"/>
      <c r="C12" s="9"/>
      <c r="D12" s="10"/>
      <c r="E12" s="33"/>
      <c r="F12" s="35"/>
    </row>
    <row r="13" spans="1:6" ht="30.75" customHeight="1" x14ac:dyDescent="0.25">
      <c r="A13" s="8"/>
      <c r="B13" s="9"/>
      <c r="C13" s="9"/>
      <c r="D13" s="10"/>
      <c r="E13" s="33"/>
      <c r="F13" s="35"/>
    </row>
    <row r="14" spans="1:6" ht="33.75" customHeight="1" x14ac:dyDescent="0.25">
      <c r="A14" s="8"/>
      <c r="B14" s="9"/>
      <c r="C14" s="9"/>
      <c r="D14" s="10"/>
      <c r="E14" s="33"/>
      <c r="F14" s="35"/>
    </row>
    <row r="15" spans="1:6" ht="24" customHeight="1" x14ac:dyDescent="0.25">
      <c r="A15" s="8"/>
      <c r="B15" s="9"/>
      <c r="C15" s="9"/>
      <c r="D15" s="10"/>
      <c r="E15" s="33"/>
      <c r="F15" s="35"/>
    </row>
    <row r="16" spans="1:6" ht="24" customHeight="1" x14ac:dyDescent="0.25">
      <c r="A16" s="8"/>
      <c r="B16" s="9"/>
      <c r="C16" s="9"/>
      <c r="D16" s="10"/>
      <c r="E16" s="33"/>
      <c r="F16" s="35"/>
    </row>
    <row r="17" spans="1:6" ht="24" customHeight="1" x14ac:dyDescent="0.25">
      <c r="A17" s="8"/>
      <c r="B17" s="9"/>
      <c r="C17" s="9"/>
      <c r="D17" s="10"/>
      <c r="E17" s="33"/>
      <c r="F17" s="35"/>
    </row>
    <row r="18" spans="1:6" ht="24" customHeight="1" x14ac:dyDescent="0.25">
      <c r="A18" s="8"/>
      <c r="B18" s="9"/>
      <c r="C18" s="9"/>
      <c r="D18" s="10"/>
      <c r="E18" s="33"/>
      <c r="F18" s="34"/>
    </row>
  </sheetData>
  <mergeCells count="1">
    <mergeCell ref="A1:E1"/>
  </mergeCells>
  <conditionalFormatting sqref="B4:B18">
    <cfRule type="cellIs" dxfId="47" priority="5" operator="equal">
      <formula>"Not Started"</formula>
    </cfRule>
    <cfRule type="cellIs" dxfId="46" priority="6" operator="equal">
      <formula>"In Progress"</formula>
    </cfRule>
    <cfRule type="cellIs" dxfId="45" priority="7" operator="equal">
      <formula>"Completed"</formula>
    </cfRule>
  </conditionalFormatting>
  <conditionalFormatting sqref="C4:C18">
    <cfRule type="cellIs" dxfId="44" priority="1" operator="equal">
      <formula>"Green"</formula>
    </cfRule>
    <cfRule type="cellIs" dxfId="43" priority="2" operator="equal">
      <formula>"Amber"</formula>
    </cfRule>
    <cfRule type="cellIs" dxfId="42" priority="3" operator="equal">
      <formula>"Red"</formula>
    </cfRule>
  </conditionalFormatting>
  <dataValidations count="3">
    <dataValidation type="list" allowBlank="1" sqref="B4:B18" xr:uid="{00000000-0002-0000-0300-000000000000}">
      <formula1>"Not Started,In Progress,Completed"</formula1>
    </dataValidation>
    <dataValidation type="list" allowBlank="1" sqref="E4:E18" xr:uid="{00000000-0002-0000-03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D4180FD0-0835-4EF4-822A-BC58AA955CD9}">
      <formula1>"Green,Amber,Red"</formula1>
    </dataValidation>
  </dataValidations>
  <hyperlinks>
    <hyperlink ref="A2" location="'Dashboard'!A1" display="&lt; Return to Dashboard" xr:uid="{819B6490-FF39-422C-83F2-9F2DE21C0B40}"/>
  </hyperlink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
  <sheetViews>
    <sheetView showGridLines="0" workbookViewId="0">
      <pane ySplit="3" topLeftCell="A4" activePane="bottomLeft" state="frozen"/>
      <selection pane="bottomLeft" activeCell="K7" sqref="K7"/>
    </sheetView>
  </sheetViews>
  <sheetFormatPr defaultRowHeight="15" x14ac:dyDescent="0.25"/>
  <cols>
    <col min="1" max="1" width="36" customWidth="1"/>
    <col min="2" max="2" width="18.5703125" customWidth="1"/>
    <col min="3" max="3" width="16" customWidth="1"/>
    <col min="4" max="4" width="20" style="18" customWidth="1"/>
    <col min="5" max="5" width="38" customWidth="1"/>
    <col min="6" max="6" width="73.140625" customWidth="1"/>
  </cols>
  <sheetData>
    <row r="1" spans="1:6" ht="32.1" customHeight="1" x14ac:dyDescent="0.25">
      <c r="A1" s="83" t="s">
        <v>89</v>
      </c>
      <c r="B1" s="62"/>
      <c r="C1" s="62"/>
      <c r="D1" s="62"/>
      <c r="E1" s="62"/>
    </row>
    <row r="2" spans="1:6" ht="18" customHeight="1" x14ac:dyDescent="0.25">
      <c r="A2" s="30" t="s">
        <v>44</v>
      </c>
    </row>
    <row r="3" spans="1:6" ht="26.1" customHeight="1" x14ac:dyDescent="0.25">
      <c r="A3" s="7" t="s">
        <v>45</v>
      </c>
      <c r="B3" s="7" t="s">
        <v>46</v>
      </c>
      <c r="C3" s="7" t="s">
        <v>47</v>
      </c>
      <c r="D3" s="17" t="s">
        <v>40</v>
      </c>
      <c r="E3" s="7" t="s">
        <v>48</v>
      </c>
      <c r="F3" s="32" t="s">
        <v>49</v>
      </c>
    </row>
    <row r="4" spans="1:6" ht="130.5" customHeight="1" x14ac:dyDescent="0.25">
      <c r="A4" s="8" t="s">
        <v>90</v>
      </c>
      <c r="B4" s="9" t="s">
        <v>30</v>
      </c>
      <c r="C4" s="9" t="s">
        <v>38</v>
      </c>
      <c r="D4" s="10">
        <v>46319</v>
      </c>
      <c r="E4" s="33" t="s">
        <v>91</v>
      </c>
      <c r="F4" s="35"/>
    </row>
    <row r="5" spans="1:6" ht="24" customHeight="1" x14ac:dyDescent="0.25">
      <c r="A5" s="8"/>
      <c r="B5" s="9"/>
      <c r="C5" s="9"/>
      <c r="D5" s="10"/>
      <c r="E5" s="33"/>
      <c r="F5" s="35"/>
    </row>
    <row r="6" spans="1:6" ht="24" customHeight="1" x14ac:dyDescent="0.25">
      <c r="A6" s="8"/>
      <c r="B6" s="9"/>
      <c r="C6" s="9"/>
      <c r="D6" s="10"/>
      <c r="E6" s="33"/>
      <c r="F6" s="35"/>
    </row>
    <row r="7" spans="1:6" ht="24" customHeight="1" x14ac:dyDescent="0.25">
      <c r="A7" s="8"/>
      <c r="B7" s="9"/>
      <c r="C7" s="9"/>
      <c r="D7" s="10"/>
      <c r="E7" s="33"/>
      <c r="F7" s="35"/>
    </row>
    <row r="8" spans="1:6" ht="24" customHeight="1" x14ac:dyDescent="0.25">
      <c r="A8" s="8"/>
      <c r="B8" s="9"/>
      <c r="C8" s="9"/>
      <c r="D8" s="10"/>
      <c r="E8" s="33"/>
      <c r="F8" s="35"/>
    </row>
    <row r="9" spans="1:6" ht="24" customHeight="1" x14ac:dyDescent="0.25">
      <c r="A9" s="8"/>
      <c r="B9" s="9"/>
      <c r="C9" s="9"/>
      <c r="D9" s="10"/>
      <c r="E9" s="33"/>
      <c r="F9" s="35"/>
    </row>
    <row r="10" spans="1:6" ht="24" customHeight="1" x14ac:dyDescent="0.25">
      <c r="A10" s="8"/>
      <c r="B10" s="9"/>
      <c r="C10" s="9"/>
      <c r="D10" s="10"/>
      <c r="E10" s="33"/>
      <c r="F10" s="35"/>
    </row>
    <row r="11" spans="1:6" ht="24" customHeight="1" x14ac:dyDescent="0.25">
      <c r="A11" s="8"/>
      <c r="B11" s="9"/>
      <c r="C11" s="9"/>
      <c r="D11" s="10"/>
      <c r="E11" s="33"/>
      <c r="F11" s="35"/>
    </row>
    <row r="12" spans="1:6" ht="24" customHeight="1" x14ac:dyDescent="0.25">
      <c r="A12" s="8"/>
      <c r="B12" s="9"/>
      <c r="C12" s="9"/>
      <c r="D12" s="10"/>
      <c r="E12" s="33"/>
      <c r="F12" s="35"/>
    </row>
    <row r="13" spans="1:6" ht="24" customHeight="1" x14ac:dyDescent="0.25">
      <c r="A13" s="8"/>
      <c r="B13" s="9"/>
      <c r="C13" s="9"/>
      <c r="D13" s="10"/>
      <c r="E13" s="33"/>
      <c r="F13" s="35"/>
    </row>
    <row r="14" spans="1:6" ht="24" customHeight="1" x14ac:dyDescent="0.25">
      <c r="A14" s="8"/>
      <c r="B14" s="9"/>
      <c r="C14" s="9"/>
      <c r="D14" s="10"/>
      <c r="E14" s="33"/>
      <c r="F14" s="35"/>
    </row>
    <row r="15" spans="1:6" ht="24" customHeight="1" x14ac:dyDescent="0.25">
      <c r="A15" s="8"/>
      <c r="B15" s="9"/>
      <c r="C15" s="9"/>
      <c r="D15" s="10"/>
      <c r="E15" s="33"/>
      <c r="F15" s="35"/>
    </row>
    <row r="16" spans="1:6" ht="24" customHeight="1" x14ac:dyDescent="0.25">
      <c r="A16" s="8"/>
      <c r="B16" s="9"/>
      <c r="C16" s="9"/>
      <c r="D16" s="10"/>
      <c r="E16" s="33"/>
      <c r="F16" s="35"/>
    </row>
    <row r="17" spans="1:6" ht="24" customHeight="1" x14ac:dyDescent="0.25">
      <c r="A17" s="8"/>
      <c r="B17" s="9"/>
      <c r="C17" s="9"/>
      <c r="D17" s="10"/>
      <c r="E17" s="33"/>
      <c r="F17" s="35"/>
    </row>
    <row r="18" spans="1:6" ht="24" customHeight="1" x14ac:dyDescent="0.25">
      <c r="A18" s="8"/>
      <c r="B18" s="9"/>
      <c r="C18" s="9"/>
      <c r="D18" s="10"/>
      <c r="E18" s="33"/>
      <c r="F18" s="34"/>
    </row>
  </sheetData>
  <mergeCells count="1">
    <mergeCell ref="A1:E1"/>
  </mergeCells>
  <conditionalFormatting sqref="B4:B18">
    <cfRule type="cellIs" dxfId="41" priority="5" operator="equal">
      <formula>"Not Started"</formula>
    </cfRule>
    <cfRule type="cellIs" dxfId="40" priority="6" operator="equal">
      <formula>"In Progress"</formula>
    </cfRule>
    <cfRule type="cellIs" dxfId="39" priority="7" operator="equal">
      <formula>"Completed"</formula>
    </cfRule>
  </conditionalFormatting>
  <conditionalFormatting sqref="C4:C18">
    <cfRule type="cellIs" dxfId="38" priority="1" operator="equal">
      <formula>"Green"</formula>
    </cfRule>
    <cfRule type="cellIs" dxfId="37" priority="2" operator="equal">
      <formula>"Amber"</formula>
    </cfRule>
    <cfRule type="cellIs" dxfId="36" priority="3" operator="equal">
      <formula>"Red"</formula>
    </cfRule>
  </conditionalFormatting>
  <dataValidations count="3">
    <dataValidation type="list" allowBlank="1" sqref="B4:B18" xr:uid="{00000000-0002-0000-0400-000000000000}">
      <formula1>"Not Started,In Progress,Completed"</formula1>
    </dataValidation>
    <dataValidation type="list" allowBlank="1" sqref="E4:E18" xr:uid="{00000000-0002-0000-04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F94959DB-CE01-4A63-8621-6147A58A4425}">
      <formula1>"Green,Amber,Red"</formula1>
    </dataValidation>
  </dataValidations>
  <hyperlinks>
    <hyperlink ref="A2" location="'Dashboard'!A1" display="&lt; Return to Dashboard" xr:uid="{9AF9D96A-6B58-4489-A94A-6B01ED730B91}"/>
  </hyperlink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
  <sheetViews>
    <sheetView showGridLines="0" zoomScale="85" zoomScaleNormal="85" workbookViewId="0">
      <pane ySplit="3" topLeftCell="A6" activePane="bottomLeft" state="frozen"/>
      <selection pane="bottomLeft" activeCell="I9" sqref="I9"/>
    </sheetView>
  </sheetViews>
  <sheetFormatPr defaultRowHeight="15" x14ac:dyDescent="0.25"/>
  <cols>
    <col min="1" max="1" width="36" customWidth="1"/>
    <col min="2" max="2" width="21.5703125" customWidth="1"/>
    <col min="3" max="3" width="17.42578125" customWidth="1"/>
    <col min="4" max="4" width="21" style="18" customWidth="1"/>
    <col min="5" max="5" width="38" customWidth="1"/>
    <col min="6" max="6" width="55.7109375" customWidth="1"/>
  </cols>
  <sheetData>
    <row r="1" spans="1:6" ht="32.1" customHeight="1" x14ac:dyDescent="0.25">
      <c r="A1" s="84" t="s">
        <v>92</v>
      </c>
      <c r="B1" s="62"/>
      <c r="C1" s="62"/>
      <c r="D1" s="62"/>
      <c r="E1" s="62"/>
    </row>
    <row r="2" spans="1:6" ht="18" customHeight="1" x14ac:dyDescent="0.25">
      <c r="A2" s="30" t="s">
        <v>44</v>
      </c>
    </row>
    <row r="3" spans="1:6" ht="26.1" customHeight="1" x14ac:dyDescent="0.25">
      <c r="A3" s="6" t="s">
        <v>45</v>
      </c>
      <c r="B3" s="6" t="s">
        <v>46</v>
      </c>
      <c r="C3" s="6" t="s">
        <v>47</v>
      </c>
      <c r="D3" s="19" t="s">
        <v>40</v>
      </c>
      <c r="E3" s="6" t="s">
        <v>48</v>
      </c>
      <c r="F3" s="36" t="s">
        <v>49</v>
      </c>
    </row>
    <row r="4" spans="1:6" ht="85.5" customHeight="1" x14ac:dyDescent="0.25">
      <c r="A4" s="31" t="s">
        <v>93</v>
      </c>
      <c r="B4" s="9" t="s">
        <v>31</v>
      </c>
      <c r="C4" s="9" t="s">
        <v>33</v>
      </c>
      <c r="D4" s="10">
        <v>46315</v>
      </c>
      <c r="E4" s="33"/>
      <c r="F4" s="35"/>
    </row>
    <row r="5" spans="1:6" ht="74.25" customHeight="1" x14ac:dyDescent="0.25">
      <c r="A5" s="8" t="s">
        <v>94</v>
      </c>
      <c r="B5" s="9" t="s">
        <v>31</v>
      </c>
      <c r="C5" s="9" t="s">
        <v>38</v>
      </c>
      <c r="D5" s="10">
        <v>46317</v>
      </c>
      <c r="E5" s="33"/>
      <c r="F5" s="35" t="s">
        <v>95</v>
      </c>
    </row>
    <row r="6" spans="1:6" ht="119.25" customHeight="1" x14ac:dyDescent="0.25">
      <c r="A6" s="8" t="s">
        <v>96</v>
      </c>
      <c r="B6" s="9" t="s">
        <v>31</v>
      </c>
      <c r="C6" s="9" t="s">
        <v>34</v>
      </c>
      <c r="D6" s="10">
        <v>46311</v>
      </c>
      <c r="E6" s="33"/>
      <c r="F6" s="35"/>
    </row>
    <row r="7" spans="1:6" ht="42.75" customHeight="1" x14ac:dyDescent="0.25">
      <c r="A7" s="8" t="s">
        <v>97</v>
      </c>
      <c r="B7" s="9" t="s">
        <v>31</v>
      </c>
      <c r="C7" s="9" t="s">
        <v>33</v>
      </c>
      <c r="D7" s="10">
        <v>46315</v>
      </c>
      <c r="E7" s="33"/>
      <c r="F7" s="35"/>
    </row>
    <row r="8" spans="1:6" ht="76.5" customHeight="1" x14ac:dyDescent="0.25">
      <c r="A8" s="8" t="s">
        <v>98</v>
      </c>
      <c r="B8" s="9" t="s">
        <v>31</v>
      </c>
      <c r="C8" s="9" t="s">
        <v>33</v>
      </c>
      <c r="D8" s="10">
        <v>46315</v>
      </c>
      <c r="E8" s="33"/>
      <c r="F8" s="35"/>
    </row>
    <row r="9" spans="1:6" ht="54.75" customHeight="1" x14ac:dyDescent="0.25">
      <c r="A9" s="20" t="s">
        <v>99</v>
      </c>
      <c r="B9" s="9"/>
      <c r="C9" s="9"/>
      <c r="D9" s="10"/>
      <c r="E9" s="33"/>
      <c r="F9" s="35"/>
    </row>
    <row r="10" spans="1:6" ht="62.25" customHeight="1" x14ac:dyDescent="0.25">
      <c r="A10" s="8" t="s">
        <v>100</v>
      </c>
      <c r="B10" s="9"/>
      <c r="C10" s="9"/>
      <c r="D10" s="10"/>
      <c r="E10" s="33"/>
      <c r="F10" s="35"/>
    </row>
    <row r="11" spans="1:6" ht="36" customHeight="1" x14ac:dyDescent="0.25">
      <c r="A11" s="31" t="s">
        <v>101</v>
      </c>
      <c r="B11" s="9"/>
      <c r="C11" s="9"/>
      <c r="D11" s="10"/>
      <c r="E11" s="33"/>
      <c r="F11" s="35"/>
    </row>
    <row r="12" spans="1:6" ht="39.75" customHeight="1" x14ac:dyDescent="0.25">
      <c r="A12" s="8" t="s">
        <v>102</v>
      </c>
      <c r="B12" s="9"/>
      <c r="C12" s="9"/>
      <c r="D12" s="10"/>
      <c r="E12" s="33"/>
      <c r="F12" s="35"/>
    </row>
    <row r="13" spans="1:6" ht="42" customHeight="1" x14ac:dyDescent="0.25">
      <c r="A13" s="8" t="s">
        <v>103</v>
      </c>
      <c r="B13" s="9" t="s">
        <v>30</v>
      </c>
      <c r="C13" s="9" t="s">
        <v>38</v>
      </c>
      <c r="D13" s="10">
        <v>46323</v>
      </c>
      <c r="E13" s="33" t="s">
        <v>104</v>
      </c>
      <c r="F13" s="35"/>
    </row>
    <row r="14" spans="1:6" ht="49.5" customHeight="1" x14ac:dyDescent="0.25">
      <c r="A14" s="8"/>
      <c r="B14" s="9"/>
      <c r="C14" s="9"/>
      <c r="D14" s="10"/>
      <c r="E14" s="33"/>
      <c r="F14" s="35"/>
    </row>
    <row r="15" spans="1:6" ht="24" customHeight="1" x14ac:dyDescent="0.25">
      <c r="A15" s="8"/>
      <c r="B15" s="9"/>
      <c r="C15" s="9"/>
      <c r="D15" s="10"/>
      <c r="E15" s="33"/>
      <c r="F15" s="35"/>
    </row>
    <row r="16" spans="1:6" ht="24" customHeight="1" x14ac:dyDescent="0.25">
      <c r="A16" s="8"/>
      <c r="B16" s="9"/>
      <c r="C16" s="9"/>
      <c r="D16" s="10"/>
      <c r="E16" s="33"/>
      <c r="F16" s="35"/>
    </row>
    <row r="17" spans="1:6" ht="24" customHeight="1" x14ac:dyDescent="0.25">
      <c r="A17" s="8"/>
      <c r="B17" s="9"/>
      <c r="C17" s="9"/>
      <c r="D17" s="10"/>
      <c r="E17" s="33"/>
      <c r="F17" s="35"/>
    </row>
    <row r="18" spans="1:6" ht="24" customHeight="1" x14ac:dyDescent="0.25">
      <c r="A18" s="8"/>
      <c r="B18" s="9"/>
      <c r="C18" s="9"/>
      <c r="D18" s="10"/>
      <c r="E18" s="33"/>
      <c r="F18" s="34"/>
    </row>
  </sheetData>
  <mergeCells count="1">
    <mergeCell ref="A1:E1"/>
  </mergeCells>
  <conditionalFormatting sqref="B4:B18">
    <cfRule type="cellIs" dxfId="35" priority="5" operator="equal">
      <formula>"Not Started"</formula>
    </cfRule>
    <cfRule type="cellIs" dxfId="34" priority="6" operator="equal">
      <formula>"In Progress"</formula>
    </cfRule>
    <cfRule type="cellIs" dxfId="33" priority="7" operator="equal">
      <formula>"Completed"</formula>
    </cfRule>
  </conditionalFormatting>
  <conditionalFormatting sqref="C4:C18">
    <cfRule type="cellIs" dxfId="32" priority="1" operator="equal">
      <formula>"Green"</formula>
    </cfRule>
    <cfRule type="cellIs" dxfId="31" priority="2" operator="equal">
      <formula>"Amber"</formula>
    </cfRule>
    <cfRule type="cellIs" dxfId="30" priority="3" operator="equal">
      <formula>"Red"</formula>
    </cfRule>
  </conditionalFormatting>
  <dataValidations count="3">
    <dataValidation type="list" allowBlank="1" sqref="B4:B18" xr:uid="{00000000-0002-0000-0500-000000000000}">
      <formula1>"Not Started,In Progress,Completed"</formula1>
    </dataValidation>
    <dataValidation type="list" allowBlank="1" sqref="E4:E18" xr:uid="{00000000-0002-0000-05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F71802A-2A8D-4C80-BB0D-395F97010563}">
      <formula1>"Green,Amber,Red"</formula1>
    </dataValidation>
  </dataValidations>
  <hyperlinks>
    <hyperlink ref="A2" location="'Dashboard'!A1" display="&lt; Return to Dashboard" xr:uid="{256F0676-1111-48D2-8BF2-9E5E1DB5F676}"/>
  </hyperlinks>
  <pageMargins left="0.75" right="0.75" top="1" bottom="1" header="0.5" footer="0.5"/>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8"/>
  <sheetViews>
    <sheetView showGridLines="0" zoomScale="115" zoomScaleNormal="115" workbookViewId="0">
      <pane ySplit="3" topLeftCell="A4" activePane="bottomLeft" state="frozen"/>
      <selection pane="bottomLeft" activeCell="J5" sqref="J5"/>
    </sheetView>
  </sheetViews>
  <sheetFormatPr defaultRowHeight="15" x14ac:dyDescent="0.25"/>
  <cols>
    <col min="1" max="1" width="36" customWidth="1"/>
    <col min="2" max="3" width="14" customWidth="1"/>
    <col min="4" max="4" width="21.28515625" style="18" customWidth="1"/>
    <col min="5" max="5" width="38" customWidth="1"/>
    <col min="6" max="6" width="55.7109375" customWidth="1"/>
  </cols>
  <sheetData>
    <row r="1" spans="1:6" ht="32.1" customHeight="1" x14ac:dyDescent="0.25">
      <c r="A1" s="83" t="s">
        <v>105</v>
      </c>
      <c r="B1" s="62"/>
      <c r="C1" s="62"/>
      <c r="D1" s="62"/>
      <c r="E1" s="62"/>
    </row>
    <row r="2" spans="1:6" ht="18" customHeight="1" x14ac:dyDescent="0.25">
      <c r="A2" s="30" t="s">
        <v>44</v>
      </c>
    </row>
    <row r="3" spans="1:6" ht="26.1" customHeight="1" x14ac:dyDescent="0.25">
      <c r="A3" s="7" t="s">
        <v>45</v>
      </c>
      <c r="B3" s="7" t="s">
        <v>46</v>
      </c>
      <c r="C3" s="7" t="s">
        <v>47</v>
      </c>
      <c r="D3" s="17" t="s">
        <v>40</v>
      </c>
      <c r="E3" s="7" t="s">
        <v>48</v>
      </c>
      <c r="F3" s="17" t="s">
        <v>49</v>
      </c>
    </row>
    <row r="4" spans="1:6" ht="102" customHeight="1" x14ac:dyDescent="0.25">
      <c r="A4" s="8" t="s">
        <v>106</v>
      </c>
      <c r="B4" s="9" t="s">
        <v>30</v>
      </c>
      <c r="C4" s="9" t="s">
        <v>33</v>
      </c>
      <c r="D4" s="10">
        <v>46321</v>
      </c>
      <c r="E4" s="33" t="s">
        <v>107</v>
      </c>
      <c r="F4" s="35"/>
    </row>
    <row r="5" spans="1:6" ht="104.25" customHeight="1" x14ac:dyDescent="0.25">
      <c r="A5" s="8" t="s">
        <v>108</v>
      </c>
      <c r="B5" s="9" t="s">
        <v>31</v>
      </c>
      <c r="C5" s="9" t="s">
        <v>33</v>
      </c>
      <c r="D5" s="21">
        <v>46321</v>
      </c>
      <c r="E5" s="33" t="s">
        <v>109</v>
      </c>
      <c r="F5" s="35"/>
    </row>
    <row r="6" spans="1:6" ht="41.25" customHeight="1" x14ac:dyDescent="0.25">
      <c r="A6" s="8" t="s">
        <v>110</v>
      </c>
      <c r="B6" s="9"/>
      <c r="C6" s="9"/>
      <c r="D6" s="10"/>
      <c r="E6" s="33"/>
      <c r="F6" s="35"/>
    </row>
    <row r="7" spans="1:6" ht="71.25" customHeight="1" x14ac:dyDescent="0.25">
      <c r="A7" s="8" t="s">
        <v>111</v>
      </c>
      <c r="B7" s="9"/>
      <c r="C7" s="9"/>
      <c r="D7" s="10"/>
      <c r="E7" s="33"/>
      <c r="F7" s="35"/>
    </row>
    <row r="8" spans="1:6" ht="105.75" customHeight="1" x14ac:dyDescent="0.25">
      <c r="A8" s="8" t="s">
        <v>112</v>
      </c>
      <c r="B8" s="9"/>
      <c r="C8" s="9"/>
      <c r="D8" s="10"/>
      <c r="E8" s="33"/>
      <c r="F8" s="35"/>
    </row>
    <row r="9" spans="1:6" ht="48.75" customHeight="1" x14ac:dyDescent="0.25">
      <c r="A9" s="8" t="s">
        <v>113</v>
      </c>
      <c r="B9" s="9"/>
      <c r="C9" s="9"/>
      <c r="D9" s="10"/>
      <c r="E9" s="33"/>
      <c r="F9" s="35"/>
    </row>
    <row r="10" spans="1:6" ht="24" customHeight="1" x14ac:dyDescent="0.25">
      <c r="A10" s="8"/>
      <c r="B10" s="9"/>
      <c r="C10" s="9"/>
      <c r="D10" s="10"/>
      <c r="E10" s="33"/>
      <c r="F10" s="35"/>
    </row>
    <row r="11" spans="1:6" ht="24" customHeight="1" x14ac:dyDescent="0.25">
      <c r="A11" s="8"/>
      <c r="B11" s="9"/>
      <c r="C11" s="9"/>
      <c r="D11" s="10"/>
      <c r="E11" s="33"/>
      <c r="F11" s="35"/>
    </row>
    <row r="12" spans="1:6" ht="24" customHeight="1" x14ac:dyDescent="0.25">
      <c r="A12" s="8"/>
      <c r="B12" s="9"/>
      <c r="C12" s="9"/>
      <c r="D12" s="10"/>
      <c r="E12" s="33"/>
      <c r="F12" s="35"/>
    </row>
    <row r="13" spans="1:6" ht="24" customHeight="1" x14ac:dyDescent="0.25">
      <c r="A13" s="8"/>
      <c r="B13" s="9"/>
      <c r="C13" s="9"/>
      <c r="D13" s="10"/>
      <c r="E13" s="33"/>
      <c r="F13" s="35"/>
    </row>
    <row r="14" spans="1:6" ht="24" customHeight="1" x14ac:dyDescent="0.25">
      <c r="A14" s="8"/>
      <c r="B14" s="9"/>
      <c r="C14" s="9"/>
      <c r="D14" s="10"/>
      <c r="E14" s="33"/>
      <c r="F14" s="35"/>
    </row>
    <row r="15" spans="1:6" ht="24" customHeight="1" x14ac:dyDescent="0.25">
      <c r="A15" s="8"/>
      <c r="B15" s="9"/>
      <c r="C15" s="9"/>
      <c r="D15" s="10"/>
      <c r="E15" s="33"/>
      <c r="F15" s="35"/>
    </row>
    <row r="16" spans="1:6" ht="24" customHeight="1" x14ac:dyDescent="0.25">
      <c r="A16" s="8"/>
      <c r="B16" s="9"/>
      <c r="C16" s="9"/>
      <c r="D16" s="10"/>
      <c r="E16" s="33"/>
      <c r="F16" s="35"/>
    </row>
    <row r="17" spans="1:6" ht="24" customHeight="1" x14ac:dyDescent="0.25">
      <c r="A17" s="8"/>
      <c r="B17" s="9"/>
      <c r="C17" s="9"/>
      <c r="D17" s="10"/>
      <c r="E17" s="33"/>
      <c r="F17" s="35"/>
    </row>
    <row r="18" spans="1:6" ht="24" customHeight="1" x14ac:dyDescent="0.25">
      <c r="A18" s="8"/>
      <c r="B18" s="9"/>
      <c r="C18" s="9"/>
      <c r="D18" s="10"/>
      <c r="E18" s="33"/>
      <c r="F18" s="34"/>
    </row>
  </sheetData>
  <mergeCells count="1">
    <mergeCell ref="A1:E1"/>
  </mergeCells>
  <conditionalFormatting sqref="B4:B18">
    <cfRule type="cellIs" dxfId="29" priority="5" operator="equal">
      <formula>"Not Started"</formula>
    </cfRule>
    <cfRule type="cellIs" dxfId="28" priority="6" operator="equal">
      <formula>"In Progress"</formula>
    </cfRule>
    <cfRule type="cellIs" dxfId="27" priority="7" operator="equal">
      <formula>"Completed"</formula>
    </cfRule>
  </conditionalFormatting>
  <conditionalFormatting sqref="C4:C18">
    <cfRule type="cellIs" dxfId="26" priority="1" operator="equal">
      <formula>"Green"</formula>
    </cfRule>
    <cfRule type="cellIs" dxfId="25" priority="2" operator="equal">
      <formula>"Amber"</formula>
    </cfRule>
    <cfRule type="cellIs" dxfId="24" priority="3" operator="equal">
      <formula>"Red"</formula>
    </cfRule>
  </conditionalFormatting>
  <dataValidations count="3">
    <dataValidation type="list" allowBlank="1" sqref="B4:B18" xr:uid="{00000000-0002-0000-0600-000000000000}">
      <formula1>"Not Started,In Progress,Completed"</formula1>
    </dataValidation>
    <dataValidation type="list" allowBlank="1" sqref="E4:E18" xr:uid="{00000000-0002-0000-06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4647D610-A084-4D58-AF9B-C59CD8537776}">
      <formula1>"Green,Amber,Red"</formula1>
    </dataValidation>
  </dataValidations>
  <hyperlinks>
    <hyperlink ref="A2" location="'Dashboard'!A1" display="&lt; Return to Dashboard" xr:uid="{532A4B47-D439-47B5-B1E0-9945B794BCDE}"/>
  </hyperlink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8"/>
  <sheetViews>
    <sheetView showGridLines="0" workbookViewId="0">
      <pane ySplit="3" topLeftCell="A4" activePane="bottomLeft" state="frozen"/>
      <selection pane="bottomLeft" activeCell="K6" sqref="K6"/>
    </sheetView>
  </sheetViews>
  <sheetFormatPr defaultRowHeight="15" x14ac:dyDescent="0.25"/>
  <cols>
    <col min="1" max="1" width="36" customWidth="1"/>
    <col min="2" max="3" width="14" customWidth="1"/>
    <col min="4" max="4" width="15" style="18" customWidth="1"/>
    <col min="5" max="5" width="38" customWidth="1"/>
    <col min="6" max="6" width="55.7109375" customWidth="1"/>
  </cols>
  <sheetData>
    <row r="1" spans="1:6" ht="32.1" customHeight="1" x14ac:dyDescent="0.25">
      <c r="A1" s="83" t="s">
        <v>114</v>
      </c>
      <c r="B1" s="62"/>
      <c r="C1" s="62"/>
      <c r="D1" s="62"/>
      <c r="E1" s="62"/>
    </row>
    <row r="2" spans="1:6" ht="18" customHeight="1" x14ac:dyDescent="0.25">
      <c r="A2" s="30" t="s">
        <v>44</v>
      </c>
    </row>
    <row r="3" spans="1:6" ht="26.1" customHeight="1" x14ac:dyDescent="0.25">
      <c r="A3" s="6" t="s">
        <v>45</v>
      </c>
      <c r="B3" s="6" t="s">
        <v>46</v>
      </c>
      <c r="C3" s="6" t="s">
        <v>47</v>
      </c>
      <c r="D3" s="19" t="s">
        <v>40</v>
      </c>
      <c r="E3" s="6" t="s">
        <v>48</v>
      </c>
      <c r="F3" s="36" t="s">
        <v>49</v>
      </c>
    </row>
    <row r="4" spans="1:6" ht="126.75" customHeight="1" x14ac:dyDescent="0.25">
      <c r="A4" s="8" t="s">
        <v>115</v>
      </c>
      <c r="B4" s="9" t="s">
        <v>30</v>
      </c>
      <c r="C4" s="9" t="s">
        <v>38</v>
      </c>
      <c r="D4" s="10">
        <v>46322</v>
      </c>
      <c r="E4" s="33" t="s">
        <v>116</v>
      </c>
      <c r="F4" s="35" t="s">
        <v>117</v>
      </c>
    </row>
    <row r="5" spans="1:6" ht="24" customHeight="1" x14ac:dyDescent="0.25">
      <c r="A5" s="8" t="s">
        <v>118</v>
      </c>
      <c r="B5" s="9"/>
      <c r="C5" s="9"/>
      <c r="D5" s="10"/>
      <c r="E5" s="33"/>
      <c r="F5" s="35"/>
    </row>
    <row r="6" spans="1:6" ht="24" customHeight="1" x14ac:dyDescent="0.25">
      <c r="A6" s="8" t="s">
        <v>119</v>
      </c>
      <c r="B6" s="9"/>
      <c r="C6" s="9"/>
      <c r="D6" s="10"/>
      <c r="E6" s="33"/>
      <c r="F6" s="35"/>
    </row>
    <row r="7" spans="1:6" ht="24" customHeight="1" x14ac:dyDescent="0.25">
      <c r="A7" s="8" t="s">
        <v>120</v>
      </c>
      <c r="B7" s="9"/>
      <c r="C7" s="9"/>
      <c r="D7" s="10"/>
      <c r="E7" s="33"/>
      <c r="F7" s="35"/>
    </row>
    <row r="8" spans="1:6" ht="154.5" customHeight="1" x14ac:dyDescent="0.25">
      <c r="A8" s="8" t="s">
        <v>121</v>
      </c>
      <c r="B8" s="9" t="s">
        <v>31</v>
      </c>
      <c r="C8" s="9" t="s">
        <v>38</v>
      </c>
      <c r="D8" s="10">
        <v>46315</v>
      </c>
      <c r="E8" s="33" t="s">
        <v>122</v>
      </c>
      <c r="F8" s="35"/>
    </row>
    <row r="9" spans="1:6" ht="24" customHeight="1" x14ac:dyDescent="0.25">
      <c r="A9" s="8"/>
      <c r="B9" s="9"/>
      <c r="C9" s="9"/>
      <c r="D9" s="10"/>
      <c r="E9" s="33"/>
      <c r="F9" s="35"/>
    </row>
    <row r="10" spans="1:6" ht="24" customHeight="1" x14ac:dyDescent="0.25">
      <c r="A10" s="8"/>
      <c r="B10" s="9"/>
      <c r="C10" s="9"/>
      <c r="D10" s="10"/>
      <c r="E10" s="33"/>
      <c r="F10" s="35"/>
    </row>
    <row r="11" spans="1:6" ht="24" customHeight="1" x14ac:dyDescent="0.25">
      <c r="A11" s="8"/>
      <c r="B11" s="9"/>
      <c r="C11" s="9"/>
      <c r="D11" s="10"/>
      <c r="E11" s="33"/>
      <c r="F11" s="35"/>
    </row>
    <row r="12" spans="1:6" ht="24" customHeight="1" x14ac:dyDescent="0.25">
      <c r="A12" s="8"/>
      <c r="B12" s="9"/>
      <c r="C12" s="9"/>
      <c r="D12" s="10"/>
      <c r="E12" s="33"/>
      <c r="F12" s="35"/>
    </row>
    <row r="13" spans="1:6" ht="24" customHeight="1" x14ac:dyDescent="0.25">
      <c r="A13" s="8"/>
      <c r="B13" s="9"/>
      <c r="C13" s="9"/>
      <c r="D13" s="10"/>
      <c r="E13" s="33"/>
      <c r="F13" s="35"/>
    </row>
    <row r="14" spans="1:6" ht="24" customHeight="1" x14ac:dyDescent="0.25">
      <c r="A14" s="8"/>
      <c r="B14" s="9"/>
      <c r="C14" s="9"/>
      <c r="D14" s="10"/>
      <c r="E14" s="33"/>
      <c r="F14" s="35"/>
    </row>
    <row r="15" spans="1:6" ht="24" customHeight="1" x14ac:dyDescent="0.25">
      <c r="A15" s="8"/>
      <c r="B15" s="9"/>
      <c r="C15" s="9"/>
      <c r="D15" s="10"/>
      <c r="E15" s="33"/>
      <c r="F15" s="35"/>
    </row>
    <row r="16" spans="1:6" ht="24" customHeight="1" x14ac:dyDescent="0.25">
      <c r="A16" s="8"/>
      <c r="B16" s="9"/>
      <c r="C16" s="9"/>
      <c r="D16" s="10"/>
      <c r="E16" s="33"/>
      <c r="F16" s="35"/>
    </row>
    <row r="17" spans="1:6" ht="24" customHeight="1" x14ac:dyDescent="0.25">
      <c r="A17" s="8"/>
      <c r="B17" s="9"/>
      <c r="C17" s="9"/>
      <c r="D17" s="10"/>
      <c r="E17" s="33"/>
      <c r="F17" s="35"/>
    </row>
    <row r="18" spans="1:6" ht="24" customHeight="1" x14ac:dyDescent="0.25">
      <c r="A18" s="8"/>
      <c r="B18" s="9"/>
      <c r="C18" s="9"/>
      <c r="D18" s="10"/>
      <c r="E18" s="33"/>
      <c r="F18" s="34"/>
    </row>
  </sheetData>
  <mergeCells count="1">
    <mergeCell ref="A1:E1"/>
  </mergeCells>
  <conditionalFormatting sqref="B4:B18">
    <cfRule type="cellIs" dxfId="23" priority="5" operator="equal">
      <formula>"Not Started"</formula>
    </cfRule>
    <cfRule type="cellIs" dxfId="22" priority="6" operator="equal">
      <formula>"In Progress"</formula>
    </cfRule>
    <cfRule type="cellIs" dxfId="21" priority="7" operator="equal">
      <formula>"Completed"</formula>
    </cfRule>
  </conditionalFormatting>
  <conditionalFormatting sqref="C4:C18">
    <cfRule type="cellIs" dxfId="20" priority="1" operator="equal">
      <formula>"Green"</formula>
    </cfRule>
    <cfRule type="cellIs" dxfId="19" priority="2" operator="equal">
      <formula>"Amber"</formula>
    </cfRule>
    <cfRule type="cellIs" dxfId="18" priority="3" operator="equal">
      <formula>"Red"</formula>
    </cfRule>
  </conditionalFormatting>
  <dataValidations count="3">
    <dataValidation type="list" allowBlank="1" sqref="B4:B18" xr:uid="{00000000-0002-0000-0700-000000000000}">
      <formula1>"Not Started,In Progress,Completed"</formula1>
    </dataValidation>
    <dataValidation type="list" allowBlank="1" sqref="E4:E18" xr:uid="{00000000-0002-0000-07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15AF1E36-42FD-4CF9-95B4-34BFF7143734}">
      <formula1>"Green,Amber,Red"</formula1>
    </dataValidation>
  </dataValidations>
  <hyperlinks>
    <hyperlink ref="A2" location="'Dashboard'!A1" display="&lt; Return to Dashboard" xr:uid="{6C29F949-0882-4F04-95C2-56A5A530131C}"/>
  </hyperlink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8"/>
  <sheetViews>
    <sheetView showGridLines="0" workbookViewId="0">
      <pane ySplit="3" topLeftCell="A4" activePane="bottomLeft" state="frozen"/>
      <selection activeCell="D1" sqref="D1"/>
      <selection pane="bottomLeft" activeCell="D4" sqref="D4"/>
    </sheetView>
  </sheetViews>
  <sheetFormatPr defaultRowHeight="15" x14ac:dyDescent="0.25"/>
  <cols>
    <col min="1" max="1" width="36" customWidth="1"/>
    <col min="2" max="3" width="14" customWidth="1"/>
    <col min="4" max="4" width="17.7109375" style="18" customWidth="1"/>
    <col min="5" max="5" width="43.5703125" customWidth="1"/>
    <col min="6" max="6" width="55.7109375" customWidth="1"/>
  </cols>
  <sheetData>
    <row r="1" spans="1:6" ht="32.1" customHeight="1" x14ac:dyDescent="0.25">
      <c r="A1" s="84" t="s">
        <v>123</v>
      </c>
      <c r="B1" s="62"/>
      <c r="C1" s="62"/>
      <c r="D1" s="62"/>
      <c r="E1" s="62"/>
    </row>
    <row r="2" spans="1:6" ht="18" customHeight="1" x14ac:dyDescent="0.25">
      <c r="A2" s="30" t="s">
        <v>44</v>
      </c>
    </row>
    <row r="3" spans="1:6" ht="26.1" customHeight="1" x14ac:dyDescent="0.25">
      <c r="A3" s="6" t="s">
        <v>45</v>
      </c>
      <c r="B3" s="6" t="s">
        <v>46</v>
      </c>
      <c r="C3" s="6" t="s">
        <v>47</v>
      </c>
      <c r="D3" s="19" t="s">
        <v>40</v>
      </c>
      <c r="E3" s="6" t="s">
        <v>48</v>
      </c>
      <c r="F3" s="36" t="s">
        <v>49</v>
      </c>
    </row>
    <row r="4" spans="1:6" ht="115.5" customHeight="1" x14ac:dyDescent="0.25">
      <c r="A4" s="2" t="s">
        <v>124</v>
      </c>
      <c r="B4" s="3" t="s">
        <v>30</v>
      </c>
      <c r="C4" s="3" t="s">
        <v>38</v>
      </c>
      <c r="D4" s="4">
        <v>46322</v>
      </c>
      <c r="E4" s="33" t="s">
        <v>125</v>
      </c>
      <c r="F4" s="35"/>
    </row>
    <row r="5" spans="1:6" ht="114" customHeight="1" x14ac:dyDescent="0.25">
      <c r="A5" s="2" t="s">
        <v>126</v>
      </c>
      <c r="B5" s="3"/>
      <c r="C5" s="3"/>
      <c r="D5" s="4"/>
      <c r="E5" s="33" t="s">
        <v>127</v>
      </c>
      <c r="F5" s="35"/>
    </row>
    <row r="6" spans="1:6" ht="45.75" customHeight="1" x14ac:dyDescent="0.25">
      <c r="A6" s="2" t="s">
        <v>128</v>
      </c>
      <c r="B6" s="3"/>
      <c r="C6" s="3"/>
      <c r="D6" s="4"/>
      <c r="E6" s="37"/>
      <c r="F6" s="35"/>
    </row>
    <row r="7" spans="1:6" ht="24" customHeight="1" x14ac:dyDescent="0.25">
      <c r="A7" s="2"/>
      <c r="B7" s="3"/>
      <c r="C7" s="3"/>
      <c r="D7" s="4"/>
      <c r="E7" s="37"/>
      <c r="F7" s="35"/>
    </row>
    <row r="8" spans="1:6" ht="24" customHeight="1" x14ac:dyDescent="0.25">
      <c r="A8" s="2"/>
      <c r="B8" s="3"/>
      <c r="C8" s="3"/>
      <c r="D8" s="4"/>
      <c r="E8" s="37"/>
      <c r="F8" s="35"/>
    </row>
    <row r="9" spans="1:6" ht="24" customHeight="1" x14ac:dyDescent="0.25">
      <c r="A9" s="2"/>
      <c r="B9" s="3"/>
      <c r="C9" s="3"/>
      <c r="D9" s="4"/>
      <c r="E9" s="37"/>
      <c r="F9" s="35"/>
    </row>
    <row r="10" spans="1:6" ht="24" customHeight="1" x14ac:dyDescent="0.25">
      <c r="A10" s="2"/>
      <c r="B10" s="3"/>
      <c r="C10" s="3"/>
      <c r="D10" s="4"/>
      <c r="E10" s="37"/>
      <c r="F10" s="35"/>
    </row>
    <row r="11" spans="1:6" ht="24" customHeight="1" x14ac:dyDescent="0.25">
      <c r="A11" s="2"/>
      <c r="B11" s="3"/>
      <c r="C11" s="3"/>
      <c r="D11" s="4"/>
      <c r="E11" s="37"/>
      <c r="F11" s="35"/>
    </row>
    <row r="12" spans="1:6" ht="24" customHeight="1" x14ac:dyDescent="0.25">
      <c r="A12" s="2"/>
      <c r="B12" s="3"/>
      <c r="C12" s="3"/>
      <c r="D12" s="4"/>
      <c r="E12" s="37"/>
      <c r="F12" s="35"/>
    </row>
    <row r="13" spans="1:6" ht="24" customHeight="1" x14ac:dyDescent="0.25">
      <c r="A13" s="2"/>
      <c r="B13" s="3"/>
      <c r="C13" s="3"/>
      <c r="D13" s="4"/>
      <c r="E13" s="37"/>
      <c r="F13" s="35"/>
    </row>
    <row r="14" spans="1:6" ht="24" customHeight="1" x14ac:dyDescent="0.25">
      <c r="A14" s="2"/>
      <c r="B14" s="3"/>
      <c r="C14" s="3"/>
      <c r="D14" s="4"/>
      <c r="E14" s="37"/>
      <c r="F14" s="35"/>
    </row>
    <row r="15" spans="1:6" ht="24" customHeight="1" x14ac:dyDescent="0.25">
      <c r="A15" s="2"/>
      <c r="B15" s="3"/>
      <c r="C15" s="3"/>
      <c r="D15" s="4"/>
      <c r="E15" s="37"/>
      <c r="F15" s="35"/>
    </row>
    <row r="16" spans="1:6" ht="24" customHeight="1" x14ac:dyDescent="0.25">
      <c r="A16" s="2"/>
      <c r="B16" s="3"/>
      <c r="C16" s="3"/>
      <c r="D16" s="4"/>
      <c r="E16" s="37"/>
      <c r="F16" s="35"/>
    </row>
    <row r="17" spans="1:6" ht="24" customHeight="1" x14ac:dyDescent="0.25">
      <c r="A17" s="2"/>
      <c r="B17" s="3"/>
      <c r="C17" s="3"/>
      <c r="D17" s="4"/>
      <c r="E17" s="37"/>
      <c r="F17" s="35"/>
    </row>
    <row r="18" spans="1:6" ht="24" customHeight="1" x14ac:dyDescent="0.25">
      <c r="A18" s="2"/>
      <c r="B18" s="3"/>
      <c r="C18" s="3"/>
      <c r="D18" s="4"/>
      <c r="E18" s="37"/>
      <c r="F18" s="34"/>
    </row>
  </sheetData>
  <mergeCells count="1">
    <mergeCell ref="A1:E1"/>
  </mergeCells>
  <conditionalFormatting sqref="B4:B18">
    <cfRule type="cellIs" dxfId="17" priority="5" operator="equal">
      <formula>"Not Started"</formula>
    </cfRule>
    <cfRule type="cellIs" dxfId="16" priority="6" operator="equal">
      <formula>"In Progress"</formula>
    </cfRule>
    <cfRule type="cellIs" dxfId="15" priority="7" operator="equal">
      <formula>"Completed"</formula>
    </cfRule>
  </conditionalFormatting>
  <conditionalFormatting sqref="C4:C18">
    <cfRule type="cellIs" dxfId="14" priority="1" operator="equal">
      <formula>"Green"</formula>
    </cfRule>
    <cfRule type="cellIs" dxfId="13" priority="2" operator="equal">
      <formula>"Amber"</formula>
    </cfRule>
    <cfRule type="cellIs" dxfId="12" priority="3" operator="equal">
      <formula>"Red"</formula>
    </cfRule>
  </conditionalFormatting>
  <dataValidations count="3">
    <dataValidation type="list" allowBlank="1" sqref="B4:B18" xr:uid="{00000000-0002-0000-0800-000000000000}">
      <formula1>"Not Started,In Progress,Completed"</formula1>
    </dataValidation>
    <dataValidation type="list" allowBlank="1" sqref="E4:E18" xr:uid="{00000000-0002-0000-08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CD10166-6FE4-4EB5-91B1-D37A7BE2EFF9}">
      <formula1>"Green,Amber,Red"</formula1>
    </dataValidation>
  </dataValidations>
  <hyperlinks>
    <hyperlink ref="A2" location="'Dashboard'!A1" display="&lt; Return to Dashboard" xr:uid="{AD72605E-D32B-4218-B4CF-360171F9B183}"/>
  </hyperlink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showGridLines="0" workbookViewId="0">
      <pane ySplit="3" topLeftCell="A4" activePane="bottomLeft" state="frozen"/>
      <selection pane="bottomLeft" activeCell="N5" sqref="N5"/>
    </sheetView>
  </sheetViews>
  <sheetFormatPr defaultRowHeight="15" x14ac:dyDescent="0.25"/>
  <cols>
    <col min="1" max="1" width="36" customWidth="1"/>
    <col min="2" max="2" width="14" customWidth="1"/>
    <col min="3" max="3" width="21.140625" customWidth="1"/>
    <col min="4" max="4" width="22.42578125" style="18" customWidth="1"/>
    <col min="5" max="5" width="38" customWidth="1"/>
    <col min="6" max="6" width="55.7109375" customWidth="1"/>
  </cols>
  <sheetData>
    <row r="1" spans="1:6" ht="32.1" customHeight="1" x14ac:dyDescent="0.25">
      <c r="A1" s="84" t="s">
        <v>129</v>
      </c>
      <c r="B1" s="62"/>
      <c r="C1" s="62"/>
      <c r="D1" s="62"/>
      <c r="E1" s="62"/>
    </row>
    <row r="2" spans="1:6" ht="18" customHeight="1" x14ac:dyDescent="0.25">
      <c r="A2" s="30" t="s">
        <v>44</v>
      </c>
    </row>
    <row r="3" spans="1:6" ht="26.1" customHeight="1" x14ac:dyDescent="0.25">
      <c r="A3" s="6" t="s">
        <v>45</v>
      </c>
      <c r="B3" s="6" t="s">
        <v>46</v>
      </c>
      <c r="C3" s="6" t="s">
        <v>47</v>
      </c>
      <c r="D3" s="19" t="s">
        <v>40</v>
      </c>
      <c r="E3" s="6" t="s">
        <v>48</v>
      </c>
      <c r="F3" s="36" t="s">
        <v>49</v>
      </c>
    </row>
    <row r="4" spans="1:6" ht="113.25" customHeight="1" x14ac:dyDescent="0.25">
      <c r="A4" s="2" t="s">
        <v>130</v>
      </c>
      <c r="B4" s="3" t="s">
        <v>30</v>
      </c>
      <c r="C4" s="3" t="s">
        <v>38</v>
      </c>
      <c r="D4" s="4">
        <v>46317</v>
      </c>
      <c r="E4" s="33" t="s">
        <v>131</v>
      </c>
      <c r="F4" s="35" t="s">
        <v>132</v>
      </c>
    </row>
    <row r="5" spans="1:6" ht="45" customHeight="1" x14ac:dyDescent="0.25">
      <c r="A5" s="2" t="s">
        <v>133</v>
      </c>
      <c r="B5" s="3"/>
      <c r="C5" s="3"/>
      <c r="D5" s="4"/>
      <c r="E5" s="37"/>
      <c r="F5" s="35"/>
    </row>
    <row r="6" spans="1:6" ht="37.5" customHeight="1" x14ac:dyDescent="0.25">
      <c r="A6" s="2" t="s">
        <v>134</v>
      </c>
      <c r="B6" s="3"/>
      <c r="C6" s="3"/>
      <c r="D6" s="4"/>
      <c r="E6" s="37"/>
      <c r="F6" s="35"/>
    </row>
    <row r="7" spans="1:6" ht="40.5" customHeight="1" x14ac:dyDescent="0.25">
      <c r="A7" s="2" t="s">
        <v>135</v>
      </c>
      <c r="B7" s="3"/>
      <c r="C7" s="3"/>
      <c r="D7" s="4"/>
      <c r="E7" s="37"/>
      <c r="F7" s="35"/>
    </row>
    <row r="8" spans="1:6" ht="24" customHeight="1" x14ac:dyDescent="0.25">
      <c r="A8" s="2"/>
      <c r="B8" s="3"/>
      <c r="C8" s="3"/>
      <c r="D8" s="4"/>
      <c r="E8" s="37"/>
      <c r="F8" s="35"/>
    </row>
    <row r="9" spans="1:6" ht="24" customHeight="1" x14ac:dyDescent="0.25">
      <c r="A9" s="2"/>
      <c r="B9" s="3"/>
      <c r="C9" s="3"/>
      <c r="D9" s="4"/>
      <c r="E9" s="37"/>
      <c r="F9" s="35"/>
    </row>
    <row r="10" spans="1:6" ht="24" customHeight="1" x14ac:dyDescent="0.25">
      <c r="A10" s="2"/>
      <c r="B10" s="3"/>
      <c r="C10" s="3"/>
      <c r="D10" s="4"/>
      <c r="E10" s="37"/>
      <c r="F10" s="35"/>
    </row>
    <row r="11" spans="1:6" ht="24" customHeight="1" x14ac:dyDescent="0.25">
      <c r="A11" s="2"/>
      <c r="B11" s="3"/>
      <c r="C11" s="3"/>
      <c r="D11" s="4"/>
      <c r="E11" s="37"/>
      <c r="F11" s="35"/>
    </row>
    <row r="12" spans="1:6" ht="24" customHeight="1" x14ac:dyDescent="0.25">
      <c r="A12" s="2"/>
      <c r="B12" s="3"/>
      <c r="C12" s="3"/>
      <c r="D12" s="4"/>
      <c r="E12" s="37"/>
      <c r="F12" s="35"/>
    </row>
    <row r="13" spans="1:6" ht="24" customHeight="1" x14ac:dyDescent="0.25">
      <c r="A13" s="2"/>
      <c r="B13" s="3"/>
      <c r="C13" s="3"/>
      <c r="D13" s="4"/>
      <c r="E13" s="37"/>
      <c r="F13" s="35"/>
    </row>
    <row r="14" spans="1:6" ht="24" customHeight="1" x14ac:dyDescent="0.25">
      <c r="A14" s="2"/>
      <c r="B14" s="3"/>
      <c r="C14" s="3"/>
      <c r="D14" s="4"/>
      <c r="E14" s="37"/>
      <c r="F14" s="35"/>
    </row>
    <row r="15" spans="1:6" ht="24" customHeight="1" x14ac:dyDescent="0.25">
      <c r="A15" s="2"/>
      <c r="B15" s="3"/>
      <c r="C15" s="3"/>
      <c r="D15" s="4"/>
      <c r="E15" s="37"/>
      <c r="F15" s="35"/>
    </row>
    <row r="16" spans="1:6" ht="24" customHeight="1" x14ac:dyDescent="0.25">
      <c r="A16" s="2"/>
      <c r="B16" s="3"/>
      <c r="C16" s="3"/>
      <c r="D16" s="4"/>
      <c r="E16" s="37"/>
      <c r="F16" s="35"/>
    </row>
    <row r="17" spans="1:6" ht="24" customHeight="1" x14ac:dyDescent="0.25">
      <c r="A17" s="2"/>
      <c r="B17" s="3"/>
      <c r="C17" s="3"/>
      <c r="D17" s="4"/>
      <c r="E17" s="37"/>
      <c r="F17" s="35"/>
    </row>
    <row r="18" spans="1:6" ht="24" customHeight="1" x14ac:dyDescent="0.25">
      <c r="A18" s="2"/>
      <c r="B18" s="3"/>
      <c r="C18" s="3"/>
      <c r="D18" s="4"/>
      <c r="E18" s="37"/>
      <c r="F18" s="34"/>
    </row>
  </sheetData>
  <mergeCells count="1">
    <mergeCell ref="A1:E1"/>
  </mergeCells>
  <conditionalFormatting sqref="B4:B18">
    <cfRule type="cellIs" dxfId="11" priority="5" operator="equal">
      <formula>"Not Started"</formula>
    </cfRule>
    <cfRule type="cellIs" dxfId="10" priority="6" operator="equal">
      <formula>"In Progress"</formula>
    </cfRule>
    <cfRule type="cellIs" dxfId="9" priority="7" operator="equal">
      <formula>"Completed"</formula>
    </cfRule>
  </conditionalFormatting>
  <conditionalFormatting sqref="C4:C18">
    <cfRule type="cellIs" dxfId="8" priority="1" operator="equal">
      <formula>"Green"</formula>
    </cfRule>
    <cfRule type="cellIs" dxfId="7" priority="2" operator="equal">
      <formula>"Amber"</formula>
    </cfRule>
    <cfRule type="cellIs" dxfId="6" priority="3" operator="equal">
      <formula>"Red"</formula>
    </cfRule>
  </conditionalFormatting>
  <dataValidations count="3">
    <dataValidation type="list" allowBlank="1" sqref="B4:B18" xr:uid="{00000000-0002-0000-0900-000000000000}">
      <formula1>"Not Started,In Progress,Completed"</formula1>
    </dataValidation>
    <dataValidation type="list" allowBlank="1" sqref="E4:E18" xr:uid="{00000000-0002-0000-09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362C242-C101-4AD1-A169-21453B952650}">
      <formula1>"Green,Amber,Red"</formula1>
    </dataValidation>
  </dataValidations>
  <hyperlinks>
    <hyperlink ref="A2" location="'Dashboard'!A1" display="&lt; Return to Dashboard" xr:uid="{B8F5389E-0181-4A32-9345-3D8FE1B6DDCA}"/>
  </hyperlink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showGridLines="0" zoomScale="115" zoomScaleNormal="115" workbookViewId="0">
      <pane ySplit="3" topLeftCell="A6" activePane="bottomLeft" state="frozen"/>
      <selection pane="bottomLeft" activeCell="K8" sqref="K8"/>
    </sheetView>
  </sheetViews>
  <sheetFormatPr defaultRowHeight="15" x14ac:dyDescent="0.25"/>
  <cols>
    <col min="1" max="1" width="36" customWidth="1"/>
    <col min="2" max="3" width="14" customWidth="1"/>
    <col min="4" max="4" width="15" style="18" customWidth="1"/>
    <col min="5" max="5" width="38" customWidth="1"/>
    <col min="6" max="6" width="55.7109375" customWidth="1"/>
  </cols>
  <sheetData>
    <row r="1" spans="1:6" ht="32.1" customHeight="1" x14ac:dyDescent="0.25">
      <c r="A1" s="83" t="s">
        <v>136</v>
      </c>
      <c r="B1" s="62"/>
      <c r="C1" s="62"/>
      <c r="D1" s="62"/>
      <c r="E1" s="62"/>
    </row>
    <row r="2" spans="1:6" ht="18" customHeight="1" x14ac:dyDescent="0.25">
      <c r="A2" s="30" t="s">
        <v>44</v>
      </c>
    </row>
    <row r="3" spans="1:6" ht="26.1" customHeight="1" x14ac:dyDescent="0.25">
      <c r="A3" s="7" t="s">
        <v>45</v>
      </c>
      <c r="B3" s="7" t="s">
        <v>46</v>
      </c>
      <c r="C3" s="7" t="s">
        <v>47</v>
      </c>
      <c r="D3" s="17" t="s">
        <v>40</v>
      </c>
      <c r="E3" s="7" t="s">
        <v>48</v>
      </c>
      <c r="F3" s="32" t="s">
        <v>49</v>
      </c>
    </row>
    <row r="4" spans="1:6" ht="61.5" customHeight="1" x14ac:dyDescent="0.25">
      <c r="A4" s="31" t="s">
        <v>137</v>
      </c>
      <c r="B4" s="9"/>
      <c r="C4" s="9"/>
      <c r="D4" s="10"/>
      <c r="E4" s="33"/>
      <c r="F4" s="35" t="s">
        <v>138</v>
      </c>
    </row>
    <row r="5" spans="1:6" ht="70.5" customHeight="1" x14ac:dyDescent="0.25">
      <c r="A5" s="57" t="s">
        <v>139</v>
      </c>
      <c r="B5" s="9"/>
      <c r="C5" s="9"/>
      <c r="D5" s="10"/>
      <c r="E5" s="33"/>
      <c r="F5" s="35"/>
    </row>
    <row r="6" spans="1:6" ht="48.75" customHeight="1" x14ac:dyDescent="0.25">
      <c r="A6" s="57" t="s">
        <v>140</v>
      </c>
      <c r="B6" s="9"/>
      <c r="C6" s="9"/>
      <c r="D6" s="10"/>
      <c r="E6" s="33"/>
      <c r="F6" s="35"/>
    </row>
    <row r="7" spans="1:6" ht="96.75" customHeight="1" x14ac:dyDescent="0.25">
      <c r="A7" s="57" t="s">
        <v>141</v>
      </c>
      <c r="B7" s="9" t="s">
        <v>31</v>
      </c>
      <c r="C7" s="9" t="s">
        <v>33</v>
      </c>
      <c r="D7" s="10">
        <v>46315</v>
      </c>
      <c r="E7" s="33" t="s">
        <v>142</v>
      </c>
      <c r="F7" s="35"/>
    </row>
    <row r="8" spans="1:6" ht="120" customHeight="1" x14ac:dyDescent="0.25">
      <c r="A8" s="31" t="s">
        <v>143</v>
      </c>
      <c r="B8" s="9" t="s">
        <v>31</v>
      </c>
      <c r="C8" s="9" t="s">
        <v>38</v>
      </c>
      <c r="D8" s="10">
        <v>46322</v>
      </c>
      <c r="E8" s="33" t="s">
        <v>144</v>
      </c>
      <c r="F8" s="35" t="s">
        <v>145</v>
      </c>
    </row>
    <row r="9" spans="1:6" ht="90.75" customHeight="1" x14ac:dyDescent="0.25">
      <c r="A9" s="31" t="s">
        <v>146</v>
      </c>
      <c r="B9" s="9"/>
      <c r="C9" s="9"/>
      <c r="D9" s="10"/>
      <c r="E9" s="33"/>
      <c r="F9" s="35"/>
    </row>
    <row r="10" spans="1:6" ht="142.5" customHeight="1" x14ac:dyDescent="0.25">
      <c r="A10" s="31"/>
      <c r="B10" s="9"/>
      <c r="C10" s="9"/>
      <c r="D10" s="10"/>
      <c r="E10" s="33"/>
      <c r="F10" s="35"/>
    </row>
    <row r="11" spans="1:6" ht="43.5" customHeight="1" x14ac:dyDescent="0.25">
      <c r="A11" s="8"/>
      <c r="B11" s="9"/>
      <c r="C11" s="9"/>
      <c r="D11" s="10"/>
      <c r="E11" s="33"/>
      <c r="F11" s="35"/>
    </row>
    <row r="12" spans="1:6" ht="24" customHeight="1" x14ac:dyDescent="0.25">
      <c r="A12" s="8"/>
      <c r="B12" s="9"/>
      <c r="C12" s="9"/>
      <c r="D12" s="10"/>
      <c r="E12" s="33"/>
      <c r="F12" s="35"/>
    </row>
    <row r="13" spans="1:6" ht="24" customHeight="1" x14ac:dyDescent="0.25">
      <c r="A13" s="8"/>
      <c r="B13" s="9"/>
      <c r="C13" s="9"/>
      <c r="D13" s="10"/>
      <c r="E13" s="33"/>
      <c r="F13" s="35"/>
    </row>
    <row r="14" spans="1:6" ht="24" customHeight="1" x14ac:dyDescent="0.25">
      <c r="A14" s="8"/>
      <c r="B14" s="9"/>
      <c r="C14" s="9"/>
      <c r="D14" s="10"/>
      <c r="E14" s="33"/>
      <c r="F14" s="35"/>
    </row>
    <row r="15" spans="1:6" ht="24" customHeight="1" x14ac:dyDescent="0.25">
      <c r="A15" s="8"/>
      <c r="B15" s="9"/>
      <c r="C15" s="9"/>
      <c r="D15" s="10"/>
      <c r="E15" s="33"/>
      <c r="F15" s="35"/>
    </row>
    <row r="16" spans="1:6" ht="24" customHeight="1" x14ac:dyDescent="0.25">
      <c r="A16" s="8"/>
      <c r="B16" s="9"/>
      <c r="C16" s="9"/>
      <c r="D16" s="10"/>
      <c r="E16" s="33"/>
      <c r="F16" s="35"/>
    </row>
    <row r="17" spans="1:6" ht="24" customHeight="1" x14ac:dyDescent="0.25">
      <c r="A17" s="8"/>
      <c r="B17" s="9"/>
      <c r="C17" s="9"/>
      <c r="D17" s="10"/>
      <c r="E17" s="33"/>
      <c r="F17" s="35"/>
    </row>
    <row r="18" spans="1:6" ht="24" customHeight="1" x14ac:dyDescent="0.25">
      <c r="A18" s="8"/>
      <c r="B18" s="9"/>
      <c r="C18" s="9"/>
      <c r="D18" s="10"/>
      <c r="E18" s="33"/>
      <c r="F18" s="34"/>
    </row>
  </sheetData>
  <mergeCells count="1">
    <mergeCell ref="A1:E1"/>
  </mergeCells>
  <conditionalFormatting sqref="B4:B18">
    <cfRule type="cellIs" dxfId="5" priority="5" operator="equal">
      <formula>"Not Started"</formula>
    </cfRule>
    <cfRule type="cellIs" dxfId="4" priority="6" operator="equal">
      <formula>"In Progress"</formula>
    </cfRule>
    <cfRule type="cellIs" dxfId="3" priority="7" operator="equal">
      <formula>"Completed"</formula>
    </cfRule>
  </conditionalFormatting>
  <conditionalFormatting sqref="C4:C18">
    <cfRule type="cellIs" dxfId="2" priority="1" operator="equal">
      <formula>"Green"</formula>
    </cfRule>
    <cfRule type="cellIs" dxfId="1" priority="2" operator="equal">
      <formula>"Amber"</formula>
    </cfRule>
    <cfRule type="cellIs" dxfId="0" priority="3" operator="equal">
      <formula>"Red"</formula>
    </cfRule>
  </conditionalFormatting>
  <dataValidations count="3">
    <dataValidation type="list" allowBlank="1" sqref="B4:B18" xr:uid="{00000000-0002-0000-0A00-000000000000}">
      <formula1>"Not Started,In Progress,Completed"</formula1>
    </dataValidation>
    <dataValidation type="list" allowBlank="1" sqref="E4:E18" xr:uid="{00000000-0002-0000-0A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C759799-FD58-478C-A3E1-2DA6CB9B7404}">
      <formula1>"Green,Amber,Red"</formula1>
    </dataValidation>
  </dataValidations>
  <hyperlinks>
    <hyperlink ref="A2" location="'Dashboard'!A1" display="&lt; Return to Dashboard" xr:uid="{CDB968D3-9478-4837-AD74-86FA9638F8B2}"/>
  </hyperlink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D12"/>
  <sheetViews>
    <sheetView showGridLines="0" workbookViewId="0">
      <selection activeCell="B9" sqref="B9"/>
    </sheetView>
  </sheetViews>
  <sheetFormatPr defaultRowHeight="15" x14ac:dyDescent="0.25"/>
  <cols>
    <col min="1" max="1" width="3" customWidth="1"/>
    <col min="2" max="2" width="22" customWidth="1"/>
    <col min="3" max="3" width="16" customWidth="1"/>
    <col min="4" max="4" width="3" customWidth="1"/>
  </cols>
  <sheetData>
    <row r="2" spans="2:4" ht="28.5" customHeight="1" x14ac:dyDescent="0.45">
      <c r="B2" s="86" t="s">
        <v>147</v>
      </c>
      <c r="C2" s="62"/>
      <c r="D2" s="62"/>
    </row>
    <row r="4" spans="2:4" ht="18.75" customHeight="1" x14ac:dyDescent="0.3">
      <c r="B4" s="61" t="s">
        <v>148</v>
      </c>
      <c r="C4" s="62"/>
      <c r="D4" s="62"/>
    </row>
    <row r="6" spans="2:4" ht="15.75" customHeight="1" x14ac:dyDescent="0.25">
      <c r="B6" s="11" t="s">
        <v>47</v>
      </c>
      <c r="C6" s="11" t="s">
        <v>149</v>
      </c>
    </row>
    <row r="7" spans="2:4" x14ac:dyDescent="0.25">
      <c r="B7" s="12" t="s">
        <v>34</v>
      </c>
      <c r="C7" s="3">
        <v>1</v>
      </c>
    </row>
    <row r="8" spans="2:4" x14ac:dyDescent="0.25">
      <c r="B8" s="13" t="s">
        <v>33</v>
      </c>
      <c r="C8" s="3">
        <v>3</v>
      </c>
    </row>
    <row r="9" spans="2:4" x14ac:dyDescent="0.25">
      <c r="B9" s="14" t="s">
        <v>38</v>
      </c>
      <c r="C9" s="3">
        <v>6</v>
      </c>
    </row>
    <row r="10" spans="2:4" x14ac:dyDescent="0.25">
      <c r="B10" s="15" t="s">
        <v>150</v>
      </c>
      <c r="C10" s="3" t="s">
        <v>151</v>
      </c>
    </row>
    <row r="12" spans="2:4" x14ac:dyDescent="0.25">
      <c r="B12" s="85" t="s">
        <v>152</v>
      </c>
      <c r="C12" s="62"/>
      <c r="D12" s="62"/>
    </row>
  </sheetData>
  <mergeCells count="3">
    <mergeCell ref="B12:D12"/>
    <mergeCell ref="B2:D2"/>
    <mergeCell ref="B4:D4"/>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3655B0D4A3F946B2B182A2452821C6" ma:contentTypeVersion="16" ma:contentTypeDescription="Create a new document." ma:contentTypeScope="" ma:versionID="7a9e24b6dc8563a5b2c5318cfdd77097">
  <xsd:schema xmlns:xsd="http://www.w3.org/2001/XMLSchema" xmlns:xs="http://www.w3.org/2001/XMLSchema" xmlns:p="http://schemas.microsoft.com/office/2006/metadata/properties" xmlns:ns3="0fb2ba46-83e9-4d91-a985-8245aaf43e5c" xmlns:ns4="ed8dfb7b-01af-4433-b4cc-631574050608" targetNamespace="http://schemas.microsoft.com/office/2006/metadata/properties" ma:root="true" ma:fieldsID="b443fa188f0c7e58c89b943786fc45fd" ns3:_="" ns4:_="">
    <xsd:import namespace="0fb2ba46-83e9-4d91-a985-8245aaf43e5c"/>
    <xsd:import namespace="ed8dfb7b-01af-4433-b4cc-631574050608"/>
    <xsd:element name="properties">
      <xsd:complexType>
        <xsd:sequence>
          <xsd:element name="documentManagement">
            <xsd:complexType>
              <xsd:all>
                <xsd:element ref="ns3:MediaServiceMetadata" minOccurs="0"/>
                <xsd:element ref="ns3:MediaServiceFastMetadata"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LengthInSeconds" minOccurs="0"/>
                <xsd:element ref="ns4:SharedWithUsers" minOccurs="0"/>
                <xsd:element ref="ns4:SharedWithDetails" minOccurs="0"/>
                <xsd:element ref="ns4:SharingHintHash" minOccurs="0"/>
                <xsd:element ref="ns3:_activity" minOccurs="0"/>
                <xsd:element ref="ns3:MediaServiceObjectDetectorVersions"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b2ba46-83e9-4d91-a985-8245aaf43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_activity" ma:index="19" nillable="true" ma:displayName="_activity" ma:hidden="true" ma:internalName="_activity">
      <xsd:simpleType>
        <xsd:restriction base="dms:Note"/>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8dfb7b-01af-4433-b4cc-631574050608"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SharingHintHash" ma:index="18"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0fb2ba46-83e9-4d91-a985-8245aaf43e5c" xsi:nil="true"/>
  </documentManagement>
</p:properties>
</file>

<file path=customXml/itemProps1.xml><?xml version="1.0" encoding="utf-8"?>
<ds:datastoreItem xmlns:ds="http://schemas.openxmlformats.org/officeDocument/2006/customXml" ds:itemID="{CA2D1D04-17F3-4DB1-A413-D2712C8E33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fb2ba46-83e9-4d91-a985-8245aaf43e5c"/>
    <ds:schemaRef ds:uri="ed8dfb7b-01af-4433-b4cc-6315740506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A9169F2-DC6F-440D-AA51-2EA02192DC48}">
  <ds:schemaRefs>
    <ds:schemaRef ds:uri="http://schemas.microsoft.com/sharepoint/v3/contenttype/forms"/>
  </ds:schemaRefs>
</ds:datastoreItem>
</file>

<file path=customXml/itemProps3.xml><?xml version="1.0" encoding="utf-8"?>
<ds:datastoreItem xmlns:ds="http://schemas.openxmlformats.org/officeDocument/2006/customXml" ds:itemID="{783C6A1E-EF8C-4F8F-AF56-34A608ED7025}">
  <ds:schemaRefs>
    <ds:schemaRef ds:uri="http://www.w3.org/XML/1998/namespace"/>
    <ds:schemaRef ds:uri="http://schemas.openxmlformats.org/package/2006/metadata/core-properties"/>
    <ds:schemaRef ds:uri="http://purl.org/dc/dcmitype/"/>
    <ds:schemaRef ds:uri="http://schemas.microsoft.com/office/2006/documentManagement/types"/>
    <ds:schemaRef ds:uri="http://purl.org/dc/elements/1.1/"/>
    <ds:schemaRef ds:uri="http://schemas.microsoft.com/office/infopath/2007/PartnerControls"/>
    <ds:schemaRef ds:uri="http://schemas.microsoft.com/office/2006/metadata/properties"/>
    <ds:schemaRef ds:uri="http://purl.org/dc/terms/"/>
    <ds:schemaRef ds:uri="ed8dfb7b-01af-4433-b4cc-631574050608"/>
    <ds:schemaRef ds:uri="0fb2ba46-83e9-4d91-a985-8245aaf43e5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Revision Timetable</vt:lpstr>
      <vt:lpstr>Dashboard</vt:lpstr>
      <vt:lpstr>Biology</vt:lpstr>
      <vt:lpstr>Chemistry</vt:lpstr>
      <vt:lpstr>Physics</vt:lpstr>
      <vt:lpstr>Mathematics</vt:lpstr>
      <vt:lpstr>English Language</vt:lpstr>
      <vt:lpstr>English Literature</vt:lpstr>
      <vt:lpstr>Geography</vt:lpstr>
      <vt:lpstr>History</vt:lpstr>
      <vt:lpstr>Spanish</vt:lpstr>
      <vt:lpstr>Computer Science</vt:lpstr>
      <vt:lpstr>Settings</vt:lpstr>
      <vt:lpstr>Subjects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Chinedu Chile</cp:lastModifiedBy>
  <cp:revision/>
  <dcterms:created xsi:type="dcterms:W3CDTF">2026-10-11T11:12:22Z</dcterms:created>
  <dcterms:modified xsi:type="dcterms:W3CDTF">2026-10-28T12:15:26Z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0x0101006E3655B0D4A3F946B2B182A2452821C6</vt:lpwstr>
  </property>
</Properties>
</file>
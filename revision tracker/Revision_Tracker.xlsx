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d.docs.live.net/948b5d172b360b34/Python Stuff/revision tracker/"/>
    </mc:Choice>
  </mc:AlternateContent>
  <xr:revisionPtr revIDLastSave="315" documentId="8_{900DBA63-C4C7-4070-82C1-769B6A063F2B}" xr6:coauthVersionLast="47" xr6:coauthVersionMax="47" xr10:uidLastSave="{55022C41-3E89-4F86-B1DF-3F3293683817}"/>
  <bookViews>
    <workbookView xWindow="1515" yWindow="1515" windowWidth="21600" windowHeight="11565" firstSheet="1" activeTab="1" xr2:uid="{00000000-000D-0000-FFFF-FFFF00000000}"/>
  </bookViews>
  <sheets>
    <sheet name="Revision Timetable" sheetId="13" r:id="rId1"/>
    <sheet name="Dashboard" sheetId="1" r:id="rId2"/>
    <sheet name="Biology" sheetId="2" r:id="rId3"/>
    <sheet name="Chemistry" sheetId="3" r:id="rId4"/>
    <sheet name="Physics" sheetId="4" r:id="rId5"/>
    <sheet name="Mathematics" sheetId="5" r:id="rId6"/>
    <sheet name="English Language" sheetId="6" r:id="rId7"/>
    <sheet name="English Literature" sheetId="7" r:id="rId8"/>
    <sheet name="Geography" sheetId="8" r:id="rId9"/>
    <sheet name="History" sheetId="9" r:id="rId10"/>
    <sheet name="Spanish" sheetId="10" r:id="rId11"/>
    <sheet name="Computer Science" sheetId="11" r:id="rId12"/>
    <sheet name="Settings" sheetId="12" r:id="rId13"/>
  </sheets>
  <definedNames>
    <definedName name="Subjects">Dashboard!$N$2:$N$11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7" i="1" l="1"/>
  <c r="C27" i="1"/>
  <c r="G27" i="1"/>
  <c r="E27" i="1"/>
  <c r="J15" i="1"/>
  <c r="J23" i="1"/>
  <c r="J22" i="1"/>
  <c r="J21" i="1"/>
  <c r="J20" i="1"/>
  <c r="J19" i="1"/>
  <c r="J18" i="1"/>
  <c r="J17" i="1"/>
  <c r="J16" i="1"/>
  <c r="J14" i="1"/>
  <c r="H23" i="1"/>
  <c r="G23" i="1"/>
  <c r="F23" i="1"/>
  <c r="E23" i="1"/>
  <c r="D23" i="1"/>
  <c r="B23" i="1"/>
  <c r="C23" i="1" s="1"/>
  <c r="H22" i="1"/>
  <c r="G22" i="1"/>
  <c r="F22" i="1"/>
  <c r="E22" i="1"/>
  <c r="D22" i="1"/>
  <c r="B22" i="1"/>
  <c r="C22" i="1" s="1"/>
  <c r="H21" i="1"/>
  <c r="G21" i="1"/>
  <c r="F21" i="1"/>
  <c r="E21" i="1"/>
  <c r="D21" i="1"/>
  <c r="B21" i="1"/>
  <c r="C21" i="1" s="1"/>
  <c r="H20" i="1"/>
  <c r="G20" i="1"/>
  <c r="F20" i="1"/>
  <c r="E20" i="1"/>
  <c r="D20" i="1"/>
  <c r="B20" i="1"/>
  <c r="C20" i="1" s="1"/>
  <c r="H19" i="1"/>
  <c r="G19" i="1"/>
  <c r="F19" i="1"/>
  <c r="E19" i="1"/>
  <c r="D19" i="1"/>
  <c r="B19" i="1"/>
  <c r="C19" i="1" s="1"/>
  <c r="H18" i="1"/>
  <c r="G18" i="1"/>
  <c r="F18" i="1"/>
  <c r="E18" i="1"/>
  <c r="D18" i="1"/>
  <c r="B18" i="1"/>
  <c r="C18" i="1" s="1"/>
  <c r="H17" i="1"/>
  <c r="G17" i="1"/>
  <c r="F17" i="1"/>
  <c r="E17" i="1"/>
  <c r="D17" i="1"/>
  <c r="B17" i="1"/>
  <c r="C17" i="1" s="1"/>
  <c r="H16" i="1"/>
  <c r="G16" i="1"/>
  <c r="F16" i="1"/>
  <c r="E16" i="1"/>
  <c r="D16" i="1"/>
  <c r="B16" i="1"/>
  <c r="C16" i="1" s="1"/>
  <c r="H15" i="1"/>
  <c r="G15" i="1"/>
  <c r="F15" i="1"/>
  <c r="E15" i="1"/>
  <c r="D15" i="1"/>
  <c r="B15" i="1"/>
  <c r="C15" i="1" s="1"/>
  <c r="H14" i="1"/>
  <c r="G14" i="1"/>
  <c r="F14" i="1"/>
  <c r="E14" i="1"/>
  <c r="D14" i="1"/>
  <c r="B14" i="1"/>
  <c r="C14" i="1" s="1"/>
  <c r="C9" i="1"/>
  <c r="A9" i="1"/>
  <c r="G6" i="1"/>
  <c r="E6" i="1"/>
  <c r="A6" i="1"/>
  <c r="C6" i="1" s="1"/>
  <c r="G100" i="1" l="1"/>
  <c r="E100" i="1"/>
  <c r="C100" i="1"/>
  <c r="A100" i="1"/>
  <c r="I23" i="1"/>
  <c r="I22" i="1"/>
  <c r="I21" i="1"/>
  <c r="I20" i="1"/>
  <c r="I19" i="1"/>
  <c r="I18" i="1"/>
  <c r="I17" i="1"/>
  <c r="AB27" i="1" s="1"/>
  <c r="I16" i="1"/>
  <c r="I15" i="1"/>
  <c r="I14" i="1"/>
  <c r="E28" i="1"/>
  <c r="A28" i="1"/>
  <c r="AD27" i="1"/>
  <c r="G28" i="1"/>
  <c r="AC27" i="1"/>
  <c r="C28" i="1"/>
  <c r="AA27" i="1"/>
</calcChain>
</file>

<file path=xl/sharedStrings.xml><?xml version="1.0" encoding="utf-8"?>
<sst xmlns="http://schemas.openxmlformats.org/spreadsheetml/2006/main" count="348" uniqueCount="145">
  <si>
    <t>🗓️ Week 1 Timetable</t>
  </si>
  <si>
    <t>🗓️ Week 2 Timetable</t>
  </si>
  <si>
    <t>Day</t>
  </si>
  <si>
    <t>Session 1</t>
  </si>
  <si>
    <t>Session 2</t>
  </si>
  <si>
    <t>Session 3</t>
  </si>
  <si>
    <t>Session 4</t>
  </si>
  <si>
    <t>Monday</t>
  </si>
  <si>
    <t>Physics</t>
  </si>
  <si>
    <t>English Literature</t>
  </si>
  <si>
    <t>History</t>
  </si>
  <si>
    <t>Spanish</t>
  </si>
  <si>
    <t>Geography</t>
  </si>
  <si>
    <t>Tuesday</t>
  </si>
  <si>
    <t>Chemistry</t>
  </si>
  <si>
    <t>Computer Science</t>
  </si>
  <si>
    <t>English Language</t>
  </si>
  <si>
    <t>Biology</t>
  </si>
  <si>
    <t>Wednesday</t>
  </si>
  <si>
    <t>Mathematics</t>
  </si>
  <si>
    <t>Thursday</t>
  </si>
  <si>
    <t>Friday</t>
  </si>
  <si>
    <t>Saturday</t>
  </si>
  <si>
    <t>-</t>
  </si>
  <si>
    <t>Sunday</t>
  </si>
  <si>
    <t xml:space="preserve">  GCSE Revision Tracker — Dashboard</t>
  </si>
  <si>
    <t>Subject list (helper)</t>
  </si>
  <si>
    <t>📊  Overall Progress</t>
  </si>
  <si>
    <t>Total topics</t>
  </si>
  <si>
    <t>Not Started</t>
  </si>
  <si>
    <t>In Progress</t>
  </si>
  <si>
    <t>Completed</t>
  </si>
  <si>
    <t>Amber</t>
  </si>
  <si>
    <t>Red</t>
  </si>
  <si>
    <t>📚  Progress by Subject</t>
  </si>
  <si>
    <t>Subject</t>
  </si>
  <si>
    <t>Total Topics</t>
  </si>
  <si>
    <t>Green</t>
  </si>
  <si>
    <t>% Complete</t>
  </si>
  <si>
    <t>Last Revised</t>
  </si>
  <si>
    <t>🎯 Today's Focus</t>
  </si>
  <si>
    <t xml:space="preserve">  Biology</t>
  </si>
  <si>
    <t>&lt; Return to Dashboard</t>
  </si>
  <si>
    <t>Topic</t>
  </si>
  <si>
    <t>Status</t>
  </si>
  <si>
    <t>Confidence</t>
  </si>
  <si>
    <t>Next Action</t>
  </si>
  <si>
    <t>General Notes</t>
  </si>
  <si>
    <r>
      <rPr>
        <b/>
        <sz val="11"/>
        <color theme="1"/>
        <rFont val="Calibri"/>
        <family val="2"/>
        <scheme val="minor"/>
      </rPr>
      <t>Group 1</t>
    </r>
    <r>
      <rPr>
        <sz val="11"/>
        <color theme="1"/>
        <rFont val="Calibri"/>
        <family val="2"/>
        <scheme val="minor"/>
      </rPr>
      <t>:
Characteristics of living organisms
Levels of organisation
Cell structure
Variety of living organisms</t>
    </r>
  </si>
  <si>
    <t>Alright we are done. First Bit of bio revision done :)</t>
  </si>
  <si>
    <t>Next session we are doing group 5 should be easy tho. Good luck</t>
  </si>
  <si>
    <r>
      <rPr>
        <b/>
        <sz val="11"/>
        <color rgb="FF000000"/>
        <rFont val="Calibri"/>
        <scheme val="minor"/>
      </rPr>
      <t xml:space="preserve">Group 2:
</t>
    </r>
    <r>
      <rPr>
        <sz val="11"/>
        <color rgb="FF000000"/>
        <rFont val="Calibri"/>
        <scheme val="minor"/>
      </rPr>
      <t>Movements of molecules
Biological molecules
Movement of substances</t>
    </r>
  </si>
  <si>
    <t>Chill session. Its all in the long term knowledge</t>
  </si>
  <si>
    <r>
      <rPr>
        <b/>
        <sz val="11"/>
        <color rgb="FF000000"/>
        <rFont val="Calibri"/>
        <scheme val="minor"/>
      </rPr>
      <t xml:space="preserve">Group 3:
</t>
    </r>
    <r>
      <rPr>
        <sz val="11"/>
        <color rgb="FF000000"/>
        <rFont val="Calibri"/>
        <scheme val="minor"/>
      </rPr>
      <t>Transport in plants
Nutrition in plants
Gas exchange in plants
Reproduction in plants</t>
    </r>
  </si>
  <si>
    <t>Chill session. everything is chill</t>
  </si>
  <si>
    <r>
      <rPr>
        <b/>
        <sz val="11"/>
        <color rgb="FF000000"/>
        <rFont val="Calibri"/>
        <scheme val="minor"/>
      </rPr>
      <t xml:space="preserve">Group 4:
</t>
    </r>
    <r>
      <rPr>
        <sz val="11"/>
        <color rgb="FF000000"/>
        <rFont val="Calibri"/>
        <scheme val="minor"/>
      </rPr>
      <t>Respiration
Gas exchange in humans</t>
    </r>
  </si>
  <si>
    <t>very easy. Bio mocks are gonna be free :) :) :)</t>
  </si>
  <si>
    <r>
      <rPr>
        <b/>
        <sz val="11"/>
        <color theme="1"/>
        <rFont val="Calibri"/>
        <family val="2"/>
        <scheme val="minor"/>
      </rPr>
      <t>Group 5</t>
    </r>
    <r>
      <rPr>
        <sz val="11"/>
        <color theme="1"/>
        <rFont val="Calibri"/>
        <family val="2"/>
        <scheme val="minor"/>
      </rPr>
      <t>:
Excretion
Human Reproduction</t>
    </r>
  </si>
  <si>
    <r>
      <rPr>
        <b/>
        <sz val="11"/>
        <color theme="1"/>
        <rFont val="Calibri"/>
        <family val="2"/>
        <scheme val="minor"/>
      </rPr>
      <t>Group 6:</t>
    </r>
    <r>
      <rPr>
        <sz val="11"/>
        <color theme="1"/>
        <rFont val="Calibri"/>
        <family val="2"/>
        <scheme val="minor"/>
      </rPr>
      <t xml:space="preserve">
Co-ordination and response
Transport in Humans
Nutrition in humans</t>
    </r>
  </si>
  <si>
    <r>
      <rPr>
        <b/>
        <sz val="11"/>
        <color theme="1"/>
        <rFont val="Calibri"/>
        <family val="2"/>
        <scheme val="minor"/>
      </rPr>
      <t xml:space="preserve">Group 7: </t>
    </r>
    <r>
      <rPr>
        <sz val="11"/>
        <color theme="1"/>
        <rFont val="Calibri"/>
        <family val="2"/>
        <scheme val="minor"/>
      </rPr>
      <t xml:space="preserve">
Inheritance
</t>
    </r>
  </si>
  <si>
    <t>EASY BRO. THIS WAS FREE</t>
  </si>
  <si>
    <r>
      <rPr>
        <b/>
        <sz val="11"/>
        <color theme="1"/>
        <rFont val="Calibri"/>
        <family val="2"/>
        <scheme val="minor"/>
      </rPr>
      <t xml:space="preserve">Group 8: </t>
    </r>
    <r>
      <rPr>
        <sz val="11"/>
        <color theme="1"/>
        <rFont val="Calibri"/>
        <family val="2"/>
        <scheme val="minor"/>
      </rPr>
      <t xml:space="preserve">
Organisms in the environment
Human Influences
Feeding relationships
Cycles within ecosystems</t>
    </r>
  </si>
  <si>
    <t xml:space="preserve">  Chemistry</t>
  </si>
  <si>
    <r>
      <rPr>
        <b/>
        <sz val="11"/>
        <color rgb="FF000000"/>
        <rFont val="Calibri"/>
      </rPr>
      <t xml:space="preserve">GROUP 1:
</t>
    </r>
    <r>
      <rPr>
        <sz val="11"/>
        <color rgb="FF000000"/>
        <rFont val="Calibri"/>
      </rPr>
      <t xml:space="preserve"> Principals of Chemistry  1a - 1e</t>
    </r>
  </si>
  <si>
    <t>Complete</t>
  </si>
  <si>
    <t>Next session is GROUP 5</t>
  </si>
  <si>
    <r>
      <rPr>
        <b/>
        <sz val="11"/>
        <color rgb="FF000000"/>
        <rFont val="Calibri"/>
        <scheme val="minor"/>
      </rPr>
      <t xml:space="preserve">GROUP 2: 
</t>
    </r>
    <r>
      <rPr>
        <sz val="11"/>
        <color rgb="FF000000"/>
        <rFont val="Calibri"/>
        <scheme val="minor"/>
      </rPr>
      <t>Bonding  1f - 1h</t>
    </r>
  </si>
  <si>
    <t>SO easy very chill</t>
  </si>
  <si>
    <r>
      <rPr>
        <b/>
        <sz val="11"/>
        <color rgb="FF000000"/>
        <rFont val="Calibri"/>
        <scheme val="minor"/>
      </rPr>
      <t xml:space="preserve">GROUP 3:
</t>
    </r>
    <r>
      <rPr>
        <sz val="11"/>
        <color rgb="FF000000"/>
        <rFont val="Calibri"/>
        <scheme val="minor"/>
      </rPr>
      <t>Inorganic Chem part 1 - 1a - 1d</t>
    </r>
  </si>
  <si>
    <t>calm. i know this stuff</t>
  </si>
  <si>
    <r>
      <rPr>
        <b/>
        <sz val="11"/>
        <color rgb="FF000000"/>
        <rFont val="Calibri"/>
        <scheme val="minor"/>
      </rPr>
      <t xml:space="preserve">GROUP 4:
</t>
    </r>
    <r>
      <rPr>
        <sz val="11"/>
        <color rgb="FF000000"/>
        <rFont val="Calibri"/>
        <scheme val="minor"/>
      </rPr>
      <t>Inorganic Chem part 2 - 1e - 1g
Rates of Reaction</t>
    </r>
  </si>
  <si>
    <r>
      <rPr>
        <b/>
        <sz val="11"/>
        <color rgb="FF000000"/>
        <rFont val="Calibri"/>
        <scheme val="minor"/>
      </rPr>
      <t xml:space="preserve">GROUP 5:
</t>
    </r>
    <r>
      <rPr>
        <sz val="11"/>
        <color rgb="FF000000"/>
        <rFont val="Calibri"/>
        <scheme val="minor"/>
      </rPr>
      <t>Energetics
Reversible reaction and equilbria</t>
    </r>
  </si>
  <si>
    <r>
      <rPr>
        <b/>
        <sz val="11"/>
        <color rgb="FF000000"/>
        <rFont val="Calibri"/>
        <scheme val="minor"/>
      </rPr>
      <t xml:space="preserve">GROUP 6:
</t>
    </r>
    <r>
      <rPr>
        <sz val="11"/>
        <color rgb="FF000000"/>
        <rFont val="Calibri"/>
        <scheme val="minor"/>
      </rPr>
      <t>Rates of Reaction</t>
    </r>
  </si>
  <si>
    <r>
      <rPr>
        <b/>
        <sz val="11"/>
        <color rgb="FF000000"/>
        <rFont val="Calibri"/>
        <scheme val="minor"/>
      </rPr>
      <t xml:space="preserve">GROUP 7:
</t>
    </r>
    <r>
      <rPr>
        <sz val="11"/>
        <color rgb="FF000000"/>
        <rFont val="Calibri"/>
        <scheme val="minor"/>
      </rPr>
      <t>y10 Organics 
Y11 Organics</t>
    </r>
  </si>
  <si>
    <t>Full mock past papers</t>
  </si>
  <si>
    <t xml:space="preserve">  Physics</t>
  </si>
  <si>
    <r>
      <rPr>
        <b/>
        <sz val="11"/>
        <color rgb="FF000000"/>
        <rFont val="Calibri"/>
        <scheme val="minor"/>
      </rPr>
      <t xml:space="preserve">GROUP 1:
</t>
    </r>
    <r>
      <rPr>
        <sz val="11"/>
        <color rgb="FF000000"/>
        <rFont val="Calibri"/>
        <scheme val="minor"/>
      </rPr>
      <t xml:space="preserve"> 9.1 Measuring waves
 10.1 Properties of waves &amp; EM Spectrum</t>
    </r>
  </si>
  <si>
    <t>When doing a review session just do a little chatgpt quiz to finish up the rest of this topic.</t>
  </si>
  <si>
    <t>Lets do GROUP 4 NEXT. HOPEFULLY ITS CHILL SPEND 1 HOUR ON THIS</t>
  </si>
  <si>
    <r>
      <rPr>
        <b/>
        <sz val="11"/>
        <color rgb="FF000000"/>
        <rFont val="Calibri"/>
        <scheme val="minor"/>
      </rPr>
      <t xml:space="preserve">GROUP 2:
</t>
    </r>
    <r>
      <rPr>
        <sz val="11"/>
        <color rgb="FF000000"/>
        <rFont val="Calibri"/>
        <scheme val="minor"/>
      </rPr>
      <t xml:space="preserve"> 9.2 Electrostatics and electrical current</t>
    </r>
  </si>
  <si>
    <t>Practise examination questions</t>
  </si>
  <si>
    <r>
      <rPr>
        <b/>
        <sz val="11"/>
        <color rgb="FF000000"/>
        <rFont val="Segoe UI"/>
      </rPr>
      <t xml:space="preserve">GROUP 3:
 </t>
    </r>
    <r>
      <rPr>
        <sz val="11"/>
        <color rgb="FF000000"/>
        <rFont val="Segoe UI"/>
      </rPr>
      <t>9.3 Mains electricity
 10.4 Electrical circuits</t>
    </r>
  </si>
  <si>
    <r>
      <rPr>
        <b/>
        <sz val="11"/>
        <color rgb="FF000000"/>
        <rFont val="Calibri"/>
      </rPr>
      <t xml:space="preserve">GROUP 4: 
</t>
    </r>
    <r>
      <rPr>
        <sz val="11"/>
        <color rgb="FF000000"/>
        <rFont val="Calibri"/>
      </rPr>
      <t>9.7 Energy types and energy resources
10.2 Energy transfer, work and power
9.4 Astronomy</t>
    </r>
  </si>
  <si>
    <r>
      <rPr>
        <b/>
        <sz val="11"/>
        <color rgb="FF000000"/>
        <rFont val="Calibri"/>
      </rPr>
      <t xml:space="preserve">GROUP 5: 
</t>
    </r>
    <r>
      <rPr>
        <sz val="11"/>
        <color rgb="FF000000"/>
        <rFont val="Calibri"/>
      </rPr>
      <t>9.5 Measuring motion
10.3 Unbalanced forces and acceleration
10.7 Thermal energy and Change of State</t>
    </r>
  </si>
  <si>
    <r>
      <rPr>
        <b/>
        <sz val="11"/>
        <color rgb="FF000000"/>
        <rFont val="Calibri"/>
      </rPr>
      <t xml:space="preserve">GROUP 6: 
</t>
    </r>
    <r>
      <rPr>
        <sz val="11"/>
        <color rgb="FF000000"/>
        <rFont val="Calibri"/>
      </rPr>
      <t>9.6 Magnetism and electromagnets
10.6 Electromagnetism
11.2 Forces, Momentum &amp; Moments</t>
    </r>
  </si>
  <si>
    <r>
      <rPr>
        <b/>
        <sz val="11"/>
        <color rgb="FF000000"/>
        <rFont val="Calibri"/>
      </rPr>
      <t xml:space="preserve">GROUP 7: 
</t>
    </r>
    <r>
      <rPr>
        <sz val="11"/>
        <color rgb="FF000000"/>
        <rFont val="Calibri"/>
      </rPr>
      <t>9.8 Density and pressure
10.5 Pressure in Liquids and Ideal Gases
11.1 Radioactivity</t>
    </r>
  </si>
  <si>
    <t xml:space="preserve">  Mathematics</t>
  </si>
  <si>
    <t>Do Lots of Past Papers</t>
  </si>
  <si>
    <t xml:space="preserve"> Do the reasoning paper on onenote and make sure you know all the topics
SHOULD BE A VERY LIGHT SESSION</t>
  </si>
  <si>
    <t xml:space="preserve">  English Language</t>
  </si>
  <si>
    <r>
      <rPr>
        <b/>
        <sz val="11"/>
        <color rgb="FF000000"/>
        <rFont val="Calibri"/>
        <scheme val="minor"/>
      </rPr>
      <t>Between A Rock &amp; Hard Place</t>
    </r>
    <r>
      <rPr>
        <sz val="11"/>
        <color rgb="FF000000"/>
        <rFont val="Calibri"/>
        <scheme val="minor"/>
      </rPr>
      <t xml:space="preserve"> Annotation and practise questions</t>
    </r>
  </si>
  <si>
    <t>1. Do a couple of questions for each anthology
2. Do a past language paper on firefly. Go to the english page then go to paper 1 overviews</t>
  </si>
  <si>
    <r>
      <rPr>
        <b/>
        <sz val="11"/>
        <color theme="1"/>
        <rFont val="Calibri"/>
        <family val="2"/>
        <scheme val="minor"/>
      </rPr>
      <t xml:space="preserve">Explorers, or boys messing about: </t>
    </r>
    <r>
      <rPr>
        <sz val="11"/>
        <color theme="1"/>
        <rFont val="Calibri"/>
        <family val="2"/>
        <scheme val="minor"/>
      </rPr>
      <t xml:space="preserve"> annotation and practise questions</t>
    </r>
  </si>
  <si>
    <t xml:space="preserve">Next task:
Do january 2022 paper on firefly:
</t>
  </si>
  <si>
    <r>
      <rPr>
        <b/>
        <sz val="11"/>
        <color theme="1"/>
        <rFont val="Calibri"/>
        <family val="2"/>
        <scheme val="minor"/>
      </rPr>
      <t>Bhutan: Beyond the sky &amp; earth</t>
    </r>
    <r>
      <rPr>
        <sz val="11"/>
        <color theme="1"/>
        <rFont val="Calibri"/>
        <family val="2"/>
        <scheme val="minor"/>
      </rPr>
      <t xml:space="preserve"> Annotation and practise questions</t>
    </r>
  </si>
  <si>
    <t>Man this was not easy. Try use chatgpt to show you how to answer these questions and then try to actually get better answers. Complete 1 question from each section then move onto a new topic. Man this ain't easy.</t>
  </si>
  <si>
    <r>
      <rPr>
        <b/>
        <sz val="11"/>
        <color theme="1"/>
        <rFont val="Calibri"/>
        <family val="2"/>
        <scheme val="minor"/>
      </rPr>
      <t>The Danger of a single story</t>
    </r>
    <r>
      <rPr>
        <sz val="11"/>
        <color theme="1"/>
        <rFont val="Calibri"/>
        <family val="2"/>
        <scheme val="minor"/>
      </rPr>
      <t xml:space="preserve"> annotation and practise questions</t>
    </r>
  </si>
  <si>
    <r>
      <rPr>
        <b/>
        <sz val="11"/>
        <color theme="1"/>
        <rFont val="Calibri"/>
        <family val="2"/>
        <scheme val="minor"/>
      </rPr>
      <t>Young and dyslexic? You've got it going on</t>
    </r>
    <r>
      <rPr>
        <sz val="11"/>
        <color theme="1"/>
        <rFont val="Calibri"/>
        <family val="2"/>
        <scheme val="minor"/>
      </rPr>
      <t xml:space="preserve"> annotation and practise questions</t>
    </r>
  </si>
  <si>
    <t>Transactional Writing Practise: Leaflet text</t>
  </si>
  <si>
    <t>Transactional Writing Practise: Magazine article</t>
  </si>
  <si>
    <t>Transactional Writing Practise: Guide</t>
  </si>
  <si>
    <t>Transactional Writing Practise: Letter</t>
  </si>
  <si>
    <t xml:space="preserve">  English Literature</t>
  </si>
  <si>
    <t>Quotations and meaning for VFAB Characters - Eddie, Alfieri, Catherine, Rodolfo</t>
  </si>
  <si>
    <t>VFAB - Themes:  
1. Different views of loyalty and honour
2. Different views of justice
3. Transition and change</t>
  </si>
  <si>
    <t>finish the 2 quotations for transition and change 
then start doing quotations for the characters</t>
  </si>
  <si>
    <t>Practise planning and writing essays for VFAB</t>
  </si>
  <si>
    <t>Quotations and meaning for Romeo &amp; Juliet characters - Eddie, Alfieri, Catherine, Rodolfo</t>
  </si>
  <si>
    <t>Romeo and Juliet: Revise themes:
 ❤️ Love and romance
👑 Power and control
🕊️ Hope and forgiveness</t>
  </si>
  <si>
    <t>Practise planning and writing essays for R&amp;J</t>
  </si>
  <si>
    <t xml:space="preserve">  Geography</t>
  </si>
  <si>
    <t>Hazards</t>
  </si>
  <si>
    <t>1. Complete the third revision sheet on the geography oaks page
2. Do two 8 markers on this topic.
3. little chatgpt quiz on primary and secondary hazards/impacts if time (optional)</t>
  </si>
  <si>
    <t>Economic Activity &amp; energy</t>
  </si>
  <si>
    <t>Coasts</t>
  </si>
  <si>
    <t>Coastal Fieldwork</t>
  </si>
  <si>
    <t>Urban Environments</t>
  </si>
  <si>
    <t xml:space="preserve">This section is done. Next time you revise practise 8 markers and also do flashcards if possible. </t>
  </si>
  <si>
    <t xml:space="preserve">  History</t>
  </si>
  <si>
    <t>America 1918 - 1941</t>
  </si>
  <si>
    <t xml:space="preserve">read up on the whole of Section 3 and 4. Just spend the whole session catching up on that its very likely you won't do any questions on it
</t>
  </si>
  <si>
    <t>US Civil Rights</t>
  </si>
  <si>
    <t>History of Medicine</t>
  </si>
  <si>
    <t xml:space="preserve">  Spanish</t>
  </si>
  <si>
    <t>Do reading papers</t>
  </si>
  <si>
    <t xml:space="preserve">Next session do this:
1. finish reading paper while writing words we don't know in the quizlet
2. at the end if time do the quizlet
</t>
  </si>
  <si>
    <t>After you finish that reading paper we are gonna do a writing paper and practise that.</t>
  </si>
  <si>
    <t>Do writing papers</t>
  </si>
  <si>
    <t>Do listening papers</t>
  </si>
  <si>
    <t>practise for oral</t>
  </si>
  <si>
    <t xml:space="preserve">  Computer Science</t>
  </si>
  <si>
    <r>
      <rPr>
        <b/>
        <sz val="11"/>
        <color rgb="FF000000"/>
        <rFont val="Calibri"/>
        <scheme val="minor"/>
      </rPr>
      <t xml:space="preserve">GROUP 1:
</t>
    </r>
    <r>
      <rPr>
        <sz val="11"/>
        <color rgb="FF000000"/>
        <rFont val="Calibri"/>
        <scheme val="minor"/>
      </rPr>
      <t>1.1 - Systems Architecture
1.2 - Memory and storage</t>
    </r>
  </si>
  <si>
    <r>
      <rPr>
        <b/>
        <sz val="11"/>
        <color rgb="FF000000"/>
        <rFont val="Calibri"/>
        <scheme val="minor"/>
      </rPr>
      <t xml:space="preserve">GROUP 2:
</t>
    </r>
    <r>
      <rPr>
        <sz val="11"/>
        <color rgb="FF000000"/>
        <rFont val="Calibri"/>
        <scheme val="minor"/>
      </rPr>
      <t>1.3 - Computer networks, connections and protocols 
1.4 - Network security</t>
    </r>
  </si>
  <si>
    <r>
      <rPr>
        <b/>
        <sz val="11"/>
        <color rgb="FF000000"/>
        <rFont val="Calibri"/>
        <scheme val="minor"/>
      </rPr>
      <t xml:space="preserve">GROUP 3:
</t>
    </r>
    <r>
      <rPr>
        <sz val="11"/>
        <color rgb="FF000000"/>
        <rFont val="Calibri"/>
        <scheme val="minor"/>
      </rPr>
      <t>1.5 - Systems software</t>
    </r>
  </si>
  <si>
    <r>
      <rPr>
        <b/>
        <sz val="11"/>
        <color rgb="FF000000"/>
        <rFont val="Calibri"/>
        <scheme val="minor"/>
      </rPr>
      <t xml:space="preserve">GROUP 4:
</t>
    </r>
    <r>
      <rPr>
        <sz val="11"/>
        <color rgb="FF000000"/>
        <rFont val="Calibri"/>
        <scheme val="minor"/>
      </rPr>
      <t>1.6 - Ethical, legal, cultural and environmental impacts of digital technology</t>
    </r>
  </si>
  <si>
    <t>Okay so this topic isn't perfect so we're gonna have to come back to it in some time.</t>
  </si>
  <si>
    <r>
      <rPr>
        <b/>
        <sz val="11"/>
        <color rgb="FF000000"/>
        <rFont val="Calibri"/>
        <scheme val="minor"/>
      </rPr>
      <t xml:space="preserve">GROUP 5 :
</t>
    </r>
    <r>
      <rPr>
        <sz val="11"/>
        <color rgb="FF000000"/>
        <rFont val="Calibri"/>
        <scheme val="minor"/>
      </rPr>
      <t>2.1 - Algorithms
2.2 - Programming fundamentals</t>
    </r>
  </si>
  <si>
    <t>1. finish learning merge sort
2. remind your self of the file handling stuff
3. do some questions from a pmt algorithms paper
4. do some questions from a pmt programming fundamentals paper
5. highlight any gaps in knowledge</t>
  </si>
  <si>
    <r>
      <rPr>
        <b/>
        <sz val="11"/>
        <color rgb="FF000000"/>
        <rFont val="Calibri"/>
        <scheme val="minor"/>
      </rPr>
      <t xml:space="preserve">GROUP 6:
</t>
    </r>
    <r>
      <rPr>
        <sz val="11"/>
        <color rgb="FF000000"/>
        <rFont val="Calibri"/>
        <scheme val="minor"/>
      </rPr>
      <t>Full exam papers</t>
    </r>
  </si>
  <si>
    <t>⚙  Settings</t>
  </si>
  <si>
    <t>Review intervals — how many days until a topic comes back</t>
  </si>
  <si>
    <t>Interval (days)</t>
  </si>
  <si>
    <t>Not Assessed</t>
  </si>
  <si>
    <t>—</t>
  </si>
  <si>
    <t>Edit the interval numbers in column C to change how often topics come back.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</si>
</sst>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;@"/>
  </numFmts>
  <fonts count="37" x14ac:knownFonts="1">
    <font>
      <sz val="11"/>
      <color theme="1"/>
      <name val="Calibri"/>
      <family val="2"/>
      <scheme val="minor"/>
    </font>
    <font>
      <b/>
      <sz val="22"/>
      <color rgb="FF1F3864"/>
      <name val="Calibri"/>
    </font>
    <font>
      <b/>
      <sz val="14"/>
      <color rgb="FF1F3864"/>
      <name val="Calibri"/>
    </font>
    <font>
      <b/>
      <sz val="12"/>
      <color rgb="FFFFFFFF"/>
      <name val="Calibri"/>
    </font>
    <font>
      <b/>
      <sz val="11"/>
      <name val="Calibri"/>
    </font>
    <font>
      <i/>
      <sz val="10"/>
      <color rgb="FF555555"/>
      <name val="Calibri"/>
    </font>
    <font>
      <b/>
      <sz val="18"/>
      <color rgb="FFFFFFFF"/>
      <name val="Calibri"/>
    </font>
    <font>
      <b/>
      <sz val="22"/>
      <color rgb="FFFFFFFF"/>
      <name val="Calibri"/>
    </font>
    <font>
      <b/>
      <sz val="11"/>
      <color rgb="FF333333"/>
      <name val="Calibri"/>
    </font>
    <font>
      <b/>
      <sz val="20"/>
      <color rgb="FF1F3864"/>
      <name val="Calibri"/>
    </font>
    <font>
      <b/>
      <sz val="18"/>
      <color rgb="FFFFFFFF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rgb="FF3B3B3B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  <font>
      <i/>
      <sz val="10"/>
      <color rgb="FFDC3232"/>
      <name val="Calibri"/>
      <family val="2"/>
      <scheme val="minor"/>
    </font>
    <font>
      <i/>
      <sz val="10"/>
      <color rgb="FFDC3232"/>
      <name val="Calibri"/>
      <scheme val="minor"/>
    </font>
    <font>
      <b/>
      <sz val="11"/>
      <color rgb="FF000000"/>
      <name val="Calibri"/>
      <scheme val="minor"/>
    </font>
    <font>
      <sz val="11"/>
      <color rgb="FF000000"/>
      <name val="Calibri"/>
      <scheme val="minor"/>
    </font>
    <font>
      <b/>
      <sz val="11"/>
      <color rgb="FFFFFFFF"/>
      <name val="Calibri"/>
      <family val="2"/>
      <scheme val="minor"/>
    </font>
    <font>
      <b/>
      <sz val="14"/>
      <color rgb="FF1F4E78"/>
      <name val="Calibri"/>
      <family val="2"/>
      <scheme val="minor"/>
    </font>
    <font>
      <sz val="11"/>
      <color theme="1"/>
      <name val="Segoe UI"/>
      <family val="2"/>
    </font>
    <font>
      <b/>
      <sz val="11"/>
      <color theme="1"/>
      <name val="Segoe UI"/>
      <family val="2"/>
    </font>
    <font>
      <b/>
      <sz val="16"/>
      <color rgb="FF1F4E78"/>
      <name val="Calibri"/>
      <family val="2"/>
      <scheme val="minor"/>
    </font>
    <font>
      <sz val="11"/>
      <color rgb="FFFFFFFF"/>
      <name val="Calibri"/>
      <family val="2"/>
      <scheme val="minor"/>
    </font>
    <font>
      <sz val="1"/>
      <color rgb="FFFFFFFF"/>
      <name val="Calibri"/>
      <family val="2"/>
      <scheme val="minor"/>
    </font>
    <font>
      <b/>
      <sz val="12"/>
      <color rgb="FF000000"/>
      <name val="Segoe UI"/>
      <family val="2"/>
    </font>
    <font>
      <sz val="11"/>
      <color rgb="FF3B3B3B"/>
      <name val="Segoe UI"/>
      <family val="2"/>
    </font>
    <font>
      <b/>
      <sz val="11"/>
      <color rgb="FF000000"/>
      <name val="Segoe UI"/>
    </font>
    <font>
      <sz val="11"/>
      <color rgb="FF000000"/>
      <name val="Segoe UI"/>
    </font>
    <font>
      <b/>
      <sz val="11"/>
      <color rgb="FF000000"/>
      <name val="Calibri"/>
    </font>
    <font>
      <sz val="11"/>
      <color rgb="FF000000"/>
      <name val="Calibri"/>
    </font>
    <font>
      <sz val="11"/>
      <color rgb="FF000000"/>
      <name val="Calibri"/>
      <charset val="1"/>
    </font>
  </fonts>
  <fills count="16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8B6B6"/>
      </patternFill>
    </fill>
    <fill>
      <patternFill patternType="solid">
        <fgColor rgb="FFFFE699"/>
      </patternFill>
    </fill>
    <fill>
      <patternFill patternType="solid">
        <fgColor rgb="FFC6EFCE"/>
      </patternFill>
    </fill>
    <fill>
      <patternFill patternType="solid">
        <fgColor rgb="FFE7E6E6"/>
      </patternFill>
    </fill>
    <fill>
      <patternFill patternType="solid">
        <fgColor rgb="FF2E75B6"/>
      </patternFill>
    </fill>
    <fill>
      <patternFill patternType="solid">
        <fgColor rgb="FFF2F6FB"/>
      </patternFill>
    </fill>
    <fill>
      <patternFill patternType="solid">
        <fgColor rgb="FFCFE2F3"/>
      </patternFill>
    </fill>
    <fill>
      <patternFill patternType="solid">
        <fgColor rgb="FFF9F9F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8"/>
      </patternFill>
    </fill>
    <fill>
      <patternFill patternType="solid">
        <fgColor rgb="FFCFE2F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9EAD3"/>
        <bgColor indexed="64"/>
      </patternFill>
    </fill>
  </fills>
  <borders count="13">
    <border>
      <left/>
      <right/>
      <top/>
      <bottom/>
      <diagonal/>
    </border>
    <border>
      <left style="thin">
        <color rgb="FFBFD4EA"/>
      </left>
      <right style="thin">
        <color rgb="FFBFD4EA"/>
      </right>
      <top style="thin">
        <color rgb="FFBFD4EA"/>
      </top>
      <bottom style="medium">
        <color rgb="FF1F3864"/>
      </bottom>
      <diagonal/>
    </border>
    <border>
      <left/>
      <right style="thin">
        <color rgb="FFBFD4EA"/>
      </right>
      <top style="thin">
        <color rgb="FFBFD4EA"/>
      </top>
      <bottom style="medium">
        <color rgb="FF1F3864"/>
      </bottom>
      <diagonal/>
    </border>
    <border>
      <left style="thin">
        <color rgb="FFBFD4EA"/>
      </left>
      <right style="thin">
        <color rgb="FFBFD4EA"/>
      </right>
      <top style="thin">
        <color rgb="FFBFD4EA"/>
      </top>
      <bottom style="thin">
        <color rgb="FFBFD4EA"/>
      </bottom>
      <diagonal/>
    </border>
    <border>
      <left style="thin">
        <color rgb="FFDCDCDC"/>
      </left>
      <right style="thin">
        <color rgb="FFDCDCDC"/>
      </right>
      <top style="thin">
        <color rgb="FFDCDCDC"/>
      </top>
      <bottom style="thin">
        <color rgb="FFDCDCDC"/>
      </bottom>
      <diagonal/>
    </border>
    <border>
      <left style="thin">
        <color rgb="FFBFD4EA"/>
      </left>
      <right/>
      <top style="thin">
        <color rgb="FFBFD4EA"/>
      </top>
      <bottom style="thin">
        <color rgb="FFBFD4EA"/>
      </bottom>
      <diagonal/>
    </border>
    <border>
      <left style="thin">
        <color rgb="FFBDD7EE"/>
      </left>
      <right style="thin">
        <color rgb="FFBDD7EE"/>
      </right>
      <top style="thin">
        <color rgb="FFBDD7EE"/>
      </top>
      <bottom style="thin">
        <color rgb="FFBDD7EE"/>
      </bottom>
      <diagonal/>
    </border>
    <border>
      <left style="thin">
        <color rgb="FFBDD7EE"/>
      </left>
      <right style="thin">
        <color rgb="FFBDD7EE"/>
      </right>
      <top style="thin">
        <color rgb="FFBDD7EE"/>
      </top>
      <bottom/>
      <diagonal/>
    </border>
    <border>
      <left style="thin">
        <color rgb="FFDCDCDC"/>
      </left>
      <right/>
      <top style="thin">
        <color rgb="FFDCDCDC"/>
      </top>
      <bottom style="thin">
        <color rgb="FFDCDCDC"/>
      </bottom>
      <diagonal/>
    </border>
    <border>
      <left/>
      <right style="thin">
        <color rgb="FFDCDCDC"/>
      </right>
      <top style="thin">
        <color rgb="FFDCDCDC"/>
      </top>
      <bottom style="thin">
        <color rgb="FFDCDCDC"/>
      </bottom>
      <diagonal/>
    </border>
    <border>
      <left style="thin">
        <color rgb="FFDCDCDC"/>
      </left>
      <right style="thin">
        <color rgb="FFDCDCDC"/>
      </right>
      <top style="thin">
        <color rgb="FFDCDCDC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14" fillId="0" borderId="0" applyNumberFormat="0" applyFill="0" applyBorder="0" applyAlignment="0" applyProtection="0"/>
    <xf numFmtId="0" fontId="16" fillId="12" borderId="0" applyNumberFormat="0" applyBorder="0" applyAlignment="0" applyProtection="0"/>
  </cellStyleXfs>
  <cellXfs count="80">
    <xf numFmtId="0" fontId="0" fillId="0" borderId="0" xfId="0"/>
    <xf numFmtId="0" fontId="0" fillId="0" borderId="0" xfId="0" applyAlignment="1">
      <alignment wrapText="1"/>
    </xf>
    <xf numFmtId="0" fontId="0" fillId="0" borderId="3" xfId="0" applyBorder="1" applyAlignment="1">
      <alignment horizontal="left" vertical="center"/>
    </xf>
    <xf numFmtId="0" fontId="0" fillId="0" borderId="3" xfId="0" applyBorder="1" applyAlignment="1">
      <alignment horizontal="center" vertical="center"/>
    </xf>
    <xf numFmtId="14" fontId="0" fillId="0" borderId="3" xfId="0" applyNumberFormat="1" applyBorder="1" applyAlignment="1">
      <alignment horizontal="center" vertical="center"/>
    </xf>
    <xf numFmtId="0" fontId="8" fillId="8" borderId="3" xfId="0" applyFont="1" applyFill="1" applyBorder="1" applyAlignment="1">
      <alignment horizontal="center" vertical="center"/>
    </xf>
    <xf numFmtId="0" fontId="3" fillId="7" borderId="3" xfId="0" applyFont="1" applyFill="1" applyBorder="1" applyAlignment="1">
      <alignment horizontal="center" vertical="center"/>
    </xf>
    <xf numFmtId="0" fontId="3" fillId="7" borderId="3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left" vertical="center" wrapText="1"/>
    </xf>
    <xf numFmtId="0" fontId="0" fillId="0" borderId="3" xfId="0" applyBorder="1" applyAlignment="1">
      <alignment horizontal="center" vertical="center" wrapText="1"/>
    </xf>
    <xf numFmtId="14" fontId="0" fillId="0" borderId="3" xfId="0" applyNumberFormat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0" fontId="4" fillId="6" borderId="3" xfId="0" applyFont="1" applyFill="1" applyBorder="1" applyAlignment="1">
      <alignment horizontal="center" vertical="center"/>
    </xf>
    <xf numFmtId="14" fontId="0" fillId="0" borderId="0" xfId="0" applyNumberFormat="1" applyAlignment="1">
      <alignment wrapText="1"/>
    </xf>
    <xf numFmtId="14" fontId="3" fillId="7" borderId="3" xfId="0" applyNumberFormat="1" applyFont="1" applyFill="1" applyBorder="1" applyAlignment="1">
      <alignment horizontal="center" vertical="center" wrapText="1"/>
    </xf>
    <xf numFmtId="14" fontId="0" fillId="0" borderId="0" xfId="0" applyNumberFormat="1"/>
    <xf numFmtId="14" fontId="3" fillId="7" borderId="3" xfId="0" applyNumberFormat="1" applyFont="1" applyFill="1" applyBorder="1" applyAlignment="1">
      <alignment horizontal="center" vertical="center"/>
    </xf>
    <xf numFmtId="0" fontId="12" fillId="0" borderId="3" xfId="0" applyFont="1" applyBorder="1" applyAlignment="1">
      <alignment horizontal="left" vertical="center" wrapText="1"/>
    </xf>
    <xf numFmtId="164" fontId="0" fillId="0" borderId="3" xfId="0" applyNumberFormat="1" applyBorder="1" applyAlignment="1">
      <alignment horizontal="center" vertical="center" wrapText="1"/>
    </xf>
    <xf numFmtId="0" fontId="15" fillId="10" borderId="4" xfId="1" applyFont="1" applyFill="1" applyBorder="1" applyAlignment="1">
      <alignment horizontal="center" vertical="center"/>
    </xf>
    <xf numFmtId="0" fontId="0" fillId="10" borderId="4" xfId="0" applyFill="1" applyBorder="1" applyAlignment="1">
      <alignment horizontal="center" vertical="center"/>
    </xf>
    <xf numFmtId="0" fontId="15" fillId="11" borderId="4" xfId="1" applyFont="1" applyFill="1" applyBorder="1" applyAlignment="1">
      <alignment horizontal="center" vertical="center"/>
    </xf>
    <xf numFmtId="0" fontId="0" fillId="11" borderId="4" xfId="0" applyFill="1" applyBorder="1" applyAlignment="1">
      <alignment horizontal="center" vertical="center"/>
    </xf>
    <xf numFmtId="0" fontId="13" fillId="13" borderId="4" xfId="2" applyFont="1" applyFill="1" applyBorder="1" applyAlignment="1">
      <alignment horizontal="center" vertical="center"/>
    </xf>
    <xf numFmtId="0" fontId="17" fillId="13" borderId="4" xfId="0" applyFont="1" applyFill="1" applyBorder="1" applyAlignment="1">
      <alignment horizontal="center" vertical="center"/>
    </xf>
    <xf numFmtId="0" fontId="19" fillId="0" borderId="0" xfId="1" applyFont="1" applyAlignment="1">
      <alignment horizontal="left" wrapText="1" indent="1"/>
    </xf>
    <xf numFmtId="0" fontId="20" fillId="0" borderId="0" xfId="1" applyFont="1" applyAlignment="1">
      <alignment horizontal="left" indent="1"/>
    </xf>
    <xf numFmtId="0" fontId="19" fillId="0" borderId="0" xfId="1" applyFont="1" applyAlignment="1">
      <alignment horizontal="left" indent="1"/>
    </xf>
    <xf numFmtId="0" fontId="22" fillId="0" borderId="3" xfId="0" applyFont="1" applyBorder="1" applyAlignment="1">
      <alignment horizontal="left" vertical="center" wrapText="1"/>
    </xf>
    <xf numFmtId="0" fontId="23" fillId="14" borderId="0" xfId="0" applyFont="1" applyFill="1" applyAlignment="1">
      <alignment horizontal="center" vertical="center" wrapText="1"/>
    </xf>
    <xf numFmtId="0" fontId="0" fillId="0" borderId="5" xfId="0" applyBorder="1" applyAlignment="1">
      <alignment horizontal="left" vertical="center" wrapText="1"/>
    </xf>
    <xf numFmtId="0" fontId="12" fillId="11" borderId="6" xfId="0" applyFont="1" applyFill="1" applyBorder="1" applyAlignment="1">
      <alignment vertical="top" wrapText="1"/>
    </xf>
    <xf numFmtId="0" fontId="12" fillId="11" borderId="7" xfId="0" applyFont="1" applyFill="1" applyBorder="1" applyAlignment="1">
      <alignment vertical="top" wrapText="1"/>
    </xf>
    <xf numFmtId="0" fontId="23" fillId="14" borderId="0" xfId="0" applyFont="1" applyFill="1" applyAlignment="1">
      <alignment horizontal="center" vertical="center"/>
    </xf>
    <xf numFmtId="0" fontId="0" fillId="0" borderId="5" xfId="0" applyBorder="1" applyAlignment="1">
      <alignment horizontal="left" vertical="center"/>
    </xf>
    <xf numFmtId="0" fontId="24" fillId="0" borderId="0" xfId="0" applyFont="1"/>
    <xf numFmtId="0" fontId="26" fillId="13" borderId="4" xfId="0" applyFont="1" applyFill="1" applyBorder="1" applyAlignment="1">
      <alignment horizontal="center"/>
    </xf>
    <xf numFmtId="0" fontId="25" fillId="11" borderId="4" xfId="0" applyFont="1" applyFill="1" applyBorder="1" applyAlignment="1">
      <alignment horizontal="left"/>
    </xf>
    <xf numFmtId="0" fontId="25" fillId="10" borderId="4" xfId="0" applyFont="1" applyFill="1" applyBorder="1" applyAlignment="1">
      <alignment horizontal="left"/>
    </xf>
    <xf numFmtId="0" fontId="28" fillId="0" borderId="0" xfId="0" applyFont="1"/>
    <xf numFmtId="0" fontId="11" fillId="0" borderId="0" xfId="0" applyFont="1" applyAlignment="1">
      <alignment horizontal="center"/>
    </xf>
    <xf numFmtId="0" fontId="17" fillId="13" borderId="8" xfId="0" applyFont="1" applyFill="1" applyBorder="1" applyAlignment="1">
      <alignment horizontal="center" vertical="center"/>
    </xf>
    <xf numFmtId="0" fontId="18" fillId="13" borderId="9" xfId="0" applyFont="1" applyFill="1" applyBorder="1" applyAlignment="1">
      <alignment horizontal="center" vertical="center"/>
    </xf>
    <xf numFmtId="0" fontId="0" fillId="10" borderId="8" xfId="0" applyFill="1" applyBorder="1" applyAlignment="1">
      <alignment horizontal="center" vertical="center"/>
    </xf>
    <xf numFmtId="0" fontId="15" fillId="10" borderId="9" xfId="0" applyFont="1" applyFill="1" applyBorder="1" applyAlignment="1">
      <alignment horizontal="center" vertical="center"/>
    </xf>
    <xf numFmtId="0" fontId="30" fillId="13" borderId="10" xfId="0" applyFont="1" applyFill="1" applyBorder="1" applyAlignment="1">
      <alignment horizontal="center" vertical="center"/>
    </xf>
    <xf numFmtId="9" fontId="31" fillId="11" borderId="4" xfId="0" applyNumberFormat="1" applyFont="1" applyFill="1" applyBorder="1" applyAlignment="1">
      <alignment horizontal="center" vertical="center"/>
    </xf>
    <xf numFmtId="0" fontId="0" fillId="11" borderId="8" xfId="0" applyFill="1" applyBorder="1" applyAlignment="1">
      <alignment horizontal="center" vertical="center"/>
    </xf>
    <xf numFmtId="0" fontId="15" fillId="11" borderId="9" xfId="0" applyFont="1" applyFill="1" applyBorder="1" applyAlignment="1">
      <alignment horizontal="center" vertical="center"/>
    </xf>
    <xf numFmtId="9" fontId="31" fillId="10" borderId="10" xfId="0" applyNumberFormat="1" applyFont="1" applyFill="1" applyBorder="1" applyAlignment="1">
      <alignment horizontal="center" vertical="center"/>
    </xf>
    <xf numFmtId="9" fontId="31" fillId="11" borderId="10" xfId="0" applyNumberFormat="1" applyFont="1" applyFill="1" applyBorder="1" applyAlignment="1">
      <alignment horizontal="center" vertical="center"/>
    </xf>
    <xf numFmtId="0" fontId="33" fillId="0" borderId="0" xfId="0" applyFont="1" applyAlignment="1">
      <alignment wrapText="1"/>
    </xf>
    <xf numFmtId="0" fontId="35" fillId="0" borderId="3" xfId="0" applyFont="1" applyBorder="1" applyAlignment="1">
      <alignment horizontal="left" vertical="center" wrapText="1"/>
    </xf>
    <xf numFmtId="0" fontId="21" fillId="0" borderId="3" xfId="0" applyFont="1" applyBorder="1" applyAlignment="1">
      <alignment horizontal="left" vertical="center" wrapText="1"/>
    </xf>
    <xf numFmtId="0" fontId="36" fillId="0" borderId="0" xfId="0" applyFont="1"/>
    <xf numFmtId="0" fontId="29" fillId="15" borderId="12" xfId="0" applyFont="1" applyFill="1" applyBorder="1"/>
    <xf numFmtId="0" fontId="0" fillId="15" borderId="12" xfId="0" applyFill="1" applyBorder="1"/>
    <xf numFmtId="0" fontId="29" fillId="11" borderId="12" xfId="0" applyFont="1" applyFill="1" applyBorder="1"/>
    <xf numFmtId="0" fontId="0" fillId="11" borderId="12" xfId="0" applyFill="1" applyBorder="1"/>
    <xf numFmtId="0" fontId="11" fillId="0" borderId="0" xfId="0" applyFont="1" applyAlignment="1">
      <alignment horizontal="center"/>
    </xf>
    <xf numFmtId="0" fontId="27" fillId="11" borderId="11" xfId="0" applyFont="1" applyFill="1" applyBorder="1" applyAlignment="1">
      <alignment horizontal="center" vertical="center"/>
    </xf>
    <xf numFmtId="0" fontId="27" fillId="15" borderId="11" xfId="0" applyFont="1" applyFill="1" applyBorder="1" applyAlignment="1">
      <alignment horizontal="center" vertical="center"/>
    </xf>
    <xf numFmtId="0" fontId="2" fillId="0" borderId="0" xfId="0" applyFont="1"/>
    <xf numFmtId="0" fontId="0" fillId="0" borderId="0" xfId="0"/>
    <xf numFmtId="0" fontId="7" fillId="2" borderId="0" xfId="0" applyFont="1" applyFill="1" applyAlignment="1">
      <alignment horizontal="left" vertical="center"/>
    </xf>
    <xf numFmtId="0" fontId="9" fillId="5" borderId="1" xfId="0" applyFont="1" applyFill="1" applyBorder="1" applyAlignment="1">
      <alignment horizontal="center" vertical="center"/>
    </xf>
    <xf numFmtId="0" fontId="0" fillId="0" borderId="2" xfId="0" applyBorder="1"/>
    <xf numFmtId="0" fontId="9" fillId="3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9" fillId="9" borderId="1" xfId="0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/>
    </xf>
    <xf numFmtId="0" fontId="6" fillId="2" borderId="0" xfId="0" applyFont="1" applyFill="1" applyAlignment="1">
      <alignment horizontal="left" vertical="center" wrapText="1"/>
    </xf>
    <xf numFmtId="0" fontId="6" fillId="2" borderId="0" xfId="0" applyFont="1" applyFill="1" applyAlignment="1">
      <alignment horizontal="left" vertical="center"/>
    </xf>
    <xf numFmtId="0" fontId="10" fillId="2" borderId="0" xfId="0" applyFont="1" applyFill="1" applyAlignment="1">
      <alignment horizontal="left" vertical="center"/>
    </xf>
    <xf numFmtId="0" fontId="5" fillId="0" borderId="0" xfId="0" applyFont="1"/>
    <xf numFmtId="0" fontId="1" fillId="0" borderId="0" xfId="0" applyFont="1"/>
  </cellXfs>
  <cellStyles count="3">
    <cellStyle name="Accent5" xfId="2" builtinId="45"/>
    <cellStyle name="Hyperlink" xfId="1" builtinId="8"/>
    <cellStyle name="Normal" xfId="0" builtinId="0"/>
  </cellStyles>
  <dxfs count="192">
    <dxf>
      <font>
        <b/>
        <color rgb="FF9C0006"/>
      </font>
      <fill>
        <patternFill patternType="solid">
          <fgColor rgb="FFF8B6B6"/>
        </patternFill>
      </fill>
    </dxf>
    <dxf>
      <font>
        <b/>
        <color rgb="FF9C6500"/>
      </font>
      <fill>
        <patternFill patternType="solid">
          <fgColor rgb="FFFFE699"/>
        </patternFill>
      </fill>
    </dxf>
    <dxf>
      <font>
        <b/>
        <color rgb="FF006100"/>
      </font>
      <fill>
        <patternFill patternType="solid">
          <fgColor rgb="FFC6EFCE"/>
        </patternFill>
      </fill>
    </dxf>
    <dxf>
      <font>
        <b/>
        <color rgb="FF006100"/>
      </font>
      <fill>
        <patternFill patternType="solid">
          <fgColor rgb="FFC6EFCE"/>
        </patternFill>
      </fill>
    </dxf>
    <dxf>
      <fill>
        <patternFill patternType="solid">
          <fgColor rgb="FFCFE2F3"/>
        </patternFill>
      </fill>
    </dxf>
    <dxf>
      <font>
        <color rgb="FF595959"/>
      </font>
      <fill>
        <patternFill patternType="solid">
          <fgColor rgb="FFE7E6E6"/>
        </patternFill>
      </fill>
    </dxf>
    <dxf>
      <font>
        <b/>
        <color rgb="FF9C0006"/>
      </font>
      <fill>
        <patternFill patternType="solid">
          <fgColor rgb="FFF8B6B6"/>
        </patternFill>
      </fill>
    </dxf>
    <dxf>
      <font>
        <b/>
        <color rgb="FF9C6500"/>
      </font>
      <fill>
        <patternFill patternType="solid">
          <fgColor rgb="FFFFE699"/>
        </patternFill>
      </fill>
    </dxf>
    <dxf>
      <font>
        <b/>
        <color rgb="FF006100"/>
      </font>
      <fill>
        <patternFill patternType="solid">
          <fgColor rgb="FFC6EFCE"/>
        </patternFill>
      </fill>
    </dxf>
    <dxf>
      <font>
        <b/>
        <color rgb="FF006100"/>
      </font>
      <fill>
        <patternFill patternType="solid">
          <fgColor rgb="FFC6EFCE"/>
        </patternFill>
      </fill>
    </dxf>
    <dxf>
      <fill>
        <patternFill patternType="solid">
          <fgColor rgb="FFCFE2F3"/>
        </patternFill>
      </fill>
    </dxf>
    <dxf>
      <font>
        <color rgb="FF595959"/>
      </font>
      <fill>
        <patternFill patternType="solid">
          <fgColor rgb="FFE7E6E6"/>
        </patternFill>
      </fill>
    </dxf>
    <dxf>
      <font>
        <b/>
        <color rgb="FF9C0006"/>
      </font>
      <fill>
        <patternFill patternType="solid">
          <fgColor rgb="FFF8B6B6"/>
        </patternFill>
      </fill>
    </dxf>
    <dxf>
      <font>
        <b/>
        <color rgb="FF9C6500"/>
      </font>
      <fill>
        <patternFill patternType="solid">
          <fgColor rgb="FFFFE699"/>
        </patternFill>
      </fill>
    </dxf>
    <dxf>
      <font>
        <b/>
        <color rgb="FF006100"/>
      </font>
      <fill>
        <patternFill patternType="solid">
          <fgColor rgb="FFC6EFCE"/>
        </patternFill>
      </fill>
    </dxf>
    <dxf>
      <font>
        <b/>
        <color rgb="FF006100"/>
      </font>
      <fill>
        <patternFill patternType="solid">
          <fgColor rgb="FFC6EFCE"/>
        </patternFill>
      </fill>
    </dxf>
    <dxf>
      <fill>
        <patternFill patternType="solid">
          <fgColor rgb="FFCFE2F3"/>
        </patternFill>
      </fill>
    </dxf>
    <dxf>
      <font>
        <color rgb="FF595959"/>
      </font>
      <fill>
        <patternFill patternType="solid">
          <fgColor rgb="FFE7E6E6"/>
        </patternFill>
      </fill>
    </dxf>
    <dxf>
      <font>
        <b/>
        <color rgb="FF9C0006"/>
      </font>
      <fill>
        <patternFill patternType="solid">
          <fgColor rgb="FFF8B6B6"/>
        </patternFill>
      </fill>
    </dxf>
    <dxf>
      <font>
        <b/>
        <color rgb="FF9C6500"/>
      </font>
      <fill>
        <patternFill patternType="solid">
          <fgColor rgb="FFFFE699"/>
        </patternFill>
      </fill>
    </dxf>
    <dxf>
      <font>
        <b/>
        <color rgb="FF006100"/>
      </font>
      <fill>
        <patternFill patternType="solid">
          <fgColor rgb="FFC6EFCE"/>
        </patternFill>
      </fill>
    </dxf>
    <dxf>
      <font>
        <b/>
        <color rgb="FF006100"/>
      </font>
      <fill>
        <patternFill patternType="solid">
          <fgColor rgb="FFC6EFCE"/>
        </patternFill>
      </fill>
    </dxf>
    <dxf>
      <fill>
        <patternFill patternType="solid">
          <fgColor rgb="FFCFE2F3"/>
        </patternFill>
      </fill>
    </dxf>
    <dxf>
      <font>
        <color rgb="FF595959"/>
      </font>
      <fill>
        <patternFill patternType="solid">
          <fgColor rgb="FFE7E6E6"/>
        </patternFill>
      </fill>
    </dxf>
    <dxf>
      <font>
        <b/>
        <color rgb="FF9C0006"/>
      </font>
      <fill>
        <patternFill patternType="solid">
          <fgColor rgb="FFF8B6B6"/>
        </patternFill>
      </fill>
    </dxf>
    <dxf>
      <font>
        <b/>
        <color rgb="FF9C6500"/>
      </font>
      <fill>
        <patternFill patternType="solid">
          <fgColor rgb="FFFFE699"/>
        </patternFill>
      </fill>
    </dxf>
    <dxf>
      <font>
        <b/>
        <color rgb="FF006100"/>
      </font>
      <fill>
        <patternFill patternType="solid">
          <fgColor rgb="FFC6EFCE"/>
        </patternFill>
      </fill>
    </dxf>
    <dxf>
      <font>
        <b/>
        <color rgb="FF006100"/>
      </font>
      <fill>
        <patternFill patternType="solid">
          <fgColor rgb="FFC6EFCE"/>
        </patternFill>
      </fill>
    </dxf>
    <dxf>
      <fill>
        <patternFill patternType="solid">
          <fgColor rgb="FFCFE2F3"/>
        </patternFill>
      </fill>
    </dxf>
    <dxf>
      <font>
        <color rgb="FF595959"/>
      </font>
      <fill>
        <patternFill patternType="solid">
          <fgColor rgb="FFE7E6E6"/>
        </patternFill>
      </fill>
    </dxf>
    <dxf>
      <font>
        <b/>
        <color rgb="FF9C0006"/>
      </font>
      <fill>
        <patternFill patternType="solid">
          <fgColor rgb="FFF8B6B6"/>
        </patternFill>
      </fill>
    </dxf>
    <dxf>
      <font>
        <b/>
        <color rgb="FF9C6500"/>
      </font>
      <fill>
        <patternFill patternType="solid">
          <fgColor rgb="FFFFE699"/>
        </patternFill>
      </fill>
    </dxf>
    <dxf>
      <font>
        <b/>
        <color rgb="FF006100"/>
      </font>
      <fill>
        <patternFill patternType="solid">
          <fgColor rgb="FFC6EFCE"/>
        </patternFill>
      </fill>
    </dxf>
    <dxf>
      <font>
        <b/>
        <color rgb="FF006100"/>
      </font>
      <fill>
        <patternFill patternType="solid">
          <fgColor rgb="FFC6EFCE"/>
        </patternFill>
      </fill>
    </dxf>
    <dxf>
      <fill>
        <patternFill patternType="solid">
          <fgColor rgb="FFCFE2F3"/>
        </patternFill>
      </fill>
    </dxf>
    <dxf>
      <font>
        <color rgb="FF595959"/>
      </font>
      <fill>
        <patternFill patternType="solid">
          <fgColor rgb="FFE7E6E6"/>
        </patternFill>
      </fill>
    </dxf>
    <dxf>
      <font>
        <b/>
        <color rgb="FF9C0006"/>
      </font>
      <fill>
        <patternFill patternType="solid">
          <fgColor rgb="FFF8B6B6"/>
        </patternFill>
      </fill>
    </dxf>
    <dxf>
      <font>
        <b/>
        <color rgb="FF9C6500"/>
      </font>
      <fill>
        <patternFill patternType="solid">
          <fgColor rgb="FFFFE699"/>
        </patternFill>
      </fill>
    </dxf>
    <dxf>
      <font>
        <b/>
        <color rgb="FF006100"/>
      </font>
      <fill>
        <patternFill patternType="solid">
          <fgColor rgb="FFC6EFCE"/>
        </patternFill>
      </fill>
    </dxf>
    <dxf>
      <font>
        <b/>
        <color rgb="FF006100"/>
      </font>
      <fill>
        <patternFill patternType="solid">
          <fgColor rgb="FFC6EFCE"/>
        </patternFill>
      </fill>
    </dxf>
    <dxf>
      <fill>
        <patternFill patternType="solid">
          <fgColor rgb="FFCFE2F3"/>
        </patternFill>
      </fill>
    </dxf>
    <dxf>
      <font>
        <color rgb="FF595959"/>
      </font>
      <fill>
        <patternFill patternType="solid">
          <fgColor rgb="FFE7E6E6"/>
        </patternFill>
      </fill>
    </dxf>
    <dxf>
      <font>
        <b/>
        <color rgb="FF9C0006"/>
      </font>
      <fill>
        <patternFill patternType="solid">
          <fgColor rgb="FFF8B6B6"/>
        </patternFill>
      </fill>
    </dxf>
    <dxf>
      <font>
        <b/>
        <color rgb="FF9C6500"/>
      </font>
      <fill>
        <patternFill patternType="solid">
          <fgColor rgb="FFFFE699"/>
        </patternFill>
      </fill>
    </dxf>
    <dxf>
      <font>
        <b/>
        <color rgb="FF006100"/>
      </font>
      <fill>
        <patternFill patternType="solid">
          <fgColor rgb="FFC6EFCE"/>
        </patternFill>
      </fill>
    </dxf>
    <dxf>
      <font>
        <b/>
        <color rgb="FF006100"/>
      </font>
      <fill>
        <patternFill patternType="solid">
          <fgColor rgb="FFC6EFCE"/>
        </patternFill>
      </fill>
    </dxf>
    <dxf>
      <fill>
        <patternFill patternType="solid">
          <fgColor rgb="FFCFE2F3"/>
        </patternFill>
      </fill>
    </dxf>
    <dxf>
      <font>
        <color rgb="FF595959"/>
      </font>
      <fill>
        <patternFill patternType="solid">
          <fgColor rgb="FFE7E6E6"/>
        </patternFill>
      </fill>
    </dxf>
    <dxf>
      <font>
        <b/>
        <color rgb="FF9C0006"/>
      </font>
      <fill>
        <patternFill patternType="solid">
          <fgColor rgb="FFF8B6B6"/>
        </patternFill>
      </fill>
    </dxf>
    <dxf>
      <font>
        <b/>
        <color rgb="FF9C6500"/>
      </font>
      <fill>
        <patternFill patternType="solid">
          <fgColor rgb="FFFFE699"/>
        </patternFill>
      </fill>
    </dxf>
    <dxf>
      <font>
        <b/>
        <color rgb="FF006100"/>
      </font>
      <fill>
        <patternFill patternType="solid">
          <fgColor rgb="FFC6EFCE"/>
        </patternFill>
      </fill>
    </dxf>
    <dxf>
      <font>
        <b/>
        <color rgb="FF006100"/>
      </font>
      <fill>
        <patternFill patternType="solid">
          <fgColor rgb="FFC6EFCE"/>
        </patternFill>
      </fill>
    </dxf>
    <dxf>
      <fill>
        <patternFill patternType="solid">
          <fgColor rgb="FFCFE2F3"/>
        </patternFill>
      </fill>
    </dxf>
    <dxf>
      <font>
        <color rgb="FF595959"/>
      </font>
      <fill>
        <patternFill patternType="solid">
          <fgColor rgb="FFE7E6E6"/>
        </patternFill>
      </fill>
    </dxf>
    <dxf>
      <font>
        <b/>
        <color rgb="FF9C0006"/>
      </font>
      <fill>
        <patternFill patternType="solid">
          <fgColor rgb="FFF8B6B6"/>
        </patternFill>
      </fill>
    </dxf>
    <dxf>
      <font>
        <b/>
        <color rgb="FF9C6500"/>
      </font>
      <fill>
        <patternFill patternType="solid">
          <fgColor rgb="FFFFE699"/>
        </patternFill>
      </fill>
    </dxf>
    <dxf>
      <font>
        <b/>
        <color rgb="FF006100"/>
      </font>
      <fill>
        <patternFill patternType="solid">
          <fgColor rgb="FFC6EFCE"/>
        </patternFill>
      </fill>
    </dxf>
    <dxf>
      <font>
        <b/>
        <color rgb="FF006100"/>
      </font>
      <fill>
        <patternFill patternType="solid">
          <fgColor rgb="FFC6EFCE"/>
        </patternFill>
      </fill>
    </dxf>
    <dxf>
      <fill>
        <patternFill patternType="solid">
          <fgColor rgb="FFCFE2F3"/>
        </patternFill>
      </fill>
    </dxf>
    <dxf>
      <font>
        <color rgb="FF595959"/>
      </font>
      <fill>
        <patternFill patternType="solid">
          <fgColor rgb="FFE7E6E6"/>
        </patternFill>
      </fill>
    </dxf>
    <dxf>
      <fill>
        <patternFill>
          <bgColor rgb="FFF4CCCC"/>
        </patternFill>
      </fill>
    </dxf>
    <dxf>
      <fill>
        <patternFill>
          <bgColor rgb="FFF4CCCC"/>
        </patternFill>
      </fill>
    </dxf>
    <dxf>
      <fill>
        <patternFill>
          <bgColor rgb="FFEBEBEB"/>
        </patternFill>
      </fill>
    </dxf>
    <dxf>
      <fill>
        <patternFill>
          <bgColor rgb="FFD9EAD3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4CCCC"/>
        </patternFill>
      </fill>
    </dxf>
    <dxf>
      <fill>
        <patternFill>
          <bgColor rgb="FFF4CCCC"/>
        </patternFill>
      </fill>
    </dxf>
    <dxf>
      <fill>
        <patternFill>
          <bgColor rgb="FFF4CCCC"/>
        </patternFill>
      </fill>
    </dxf>
    <dxf>
      <fill>
        <patternFill patternType="solid">
          <bgColor rgb="FF00B050"/>
        </patternFill>
      </fill>
    </dxf>
    <dxf>
      <fill>
        <patternFill>
          <bgColor rgb="FFF4CCCC"/>
        </patternFill>
      </fill>
    </dxf>
    <dxf>
      <fill>
        <patternFill>
          <bgColor rgb="FFF4CCCC"/>
        </patternFill>
      </fill>
    </dxf>
    <dxf>
      <fill>
        <patternFill>
          <bgColor rgb="FFF4CCCC"/>
        </patternFill>
      </fill>
    </dxf>
    <dxf>
      <fill>
        <patternFill>
          <bgColor rgb="FFF4CCCC"/>
        </patternFill>
      </fill>
    </dxf>
    <dxf>
      <fill>
        <patternFill>
          <bgColor rgb="FFF4CCCC"/>
        </patternFill>
      </fill>
    </dxf>
    <dxf>
      <fill>
        <patternFill>
          <bgColor rgb="FFF4CCCC"/>
        </patternFill>
      </fill>
    </dxf>
    <dxf>
      <fill>
        <patternFill>
          <bgColor rgb="FFF4CCCC"/>
        </patternFill>
      </fill>
    </dxf>
    <dxf>
      <fill>
        <patternFill>
          <bgColor rgb="FFF4CCCC"/>
        </patternFill>
      </fill>
    </dxf>
    <dxf>
      <fill>
        <patternFill>
          <bgColor rgb="FFF4CCCC"/>
        </patternFill>
      </fill>
    </dxf>
    <dxf>
      <fill>
        <patternFill>
          <bgColor rgb="FFF4CCCC"/>
        </patternFill>
      </fill>
    </dxf>
    <dxf>
      <fill>
        <patternFill>
          <bgColor rgb="FFF4CCCC"/>
        </patternFill>
      </fill>
    </dxf>
    <dxf>
      <fill>
        <patternFill>
          <bgColor rgb="FFF4CCCC"/>
        </patternFill>
      </fill>
    </dxf>
    <dxf>
      <fill>
        <patternFill>
          <bgColor rgb="FFF4CCCC"/>
        </patternFill>
      </fill>
    </dxf>
    <dxf>
      <fill>
        <patternFill>
          <bgColor rgb="FFF4CCCC"/>
        </patternFill>
      </fill>
    </dxf>
    <dxf>
      <fill>
        <patternFill>
          <bgColor rgb="FFF4CCCC"/>
        </patternFill>
      </fill>
    </dxf>
    <dxf>
      <fill>
        <patternFill>
          <bgColor rgb="FFF4CCCC"/>
        </patternFill>
      </fill>
    </dxf>
    <dxf>
      <fill>
        <patternFill>
          <bgColor rgb="FFF4CCCC"/>
        </patternFill>
      </fill>
    </dxf>
    <dxf>
      <fill>
        <patternFill>
          <bgColor rgb="FFF4CCCC"/>
        </patternFill>
      </fill>
    </dxf>
    <dxf>
      <fill>
        <patternFill>
          <bgColor rgb="FFF4CCCC"/>
        </patternFill>
      </fill>
    </dxf>
    <dxf>
      <fill>
        <patternFill>
          <bgColor rgb="FFF4CCCC"/>
        </patternFill>
      </fill>
    </dxf>
    <dxf>
      <fill>
        <patternFill>
          <bgColor rgb="FFF4CCCC"/>
        </patternFill>
      </fill>
    </dxf>
    <dxf>
      <fill>
        <patternFill>
          <bgColor rgb="FFF4CCCC"/>
        </patternFill>
      </fill>
    </dxf>
    <dxf>
      <fill>
        <patternFill>
          <bgColor rgb="FFF4CCCC"/>
        </patternFill>
      </fill>
    </dxf>
    <dxf>
      <fill>
        <patternFill>
          <bgColor rgb="FFF4CCCC"/>
        </patternFill>
      </fill>
    </dxf>
    <dxf>
      <fill>
        <patternFill>
          <bgColor rgb="FFF4CCCC"/>
        </patternFill>
      </fill>
    </dxf>
    <dxf>
      <fill>
        <patternFill>
          <bgColor rgb="FFF4CCCC"/>
        </patternFill>
      </fill>
    </dxf>
    <dxf>
      <fill>
        <patternFill>
          <bgColor rgb="FFF4CCCC"/>
        </patternFill>
      </fill>
    </dxf>
    <dxf>
      <fill>
        <patternFill>
          <bgColor rgb="FFF4CCCC"/>
        </patternFill>
      </fill>
    </dxf>
    <dxf>
      <fill>
        <patternFill>
          <bgColor rgb="FFF4CCCC"/>
        </patternFill>
      </fill>
    </dxf>
    <dxf>
      <fill>
        <patternFill>
          <bgColor rgb="FFF4CCCC"/>
        </patternFill>
      </fill>
    </dxf>
    <dxf>
      <fill>
        <patternFill>
          <bgColor rgb="FFF4CCCC"/>
        </patternFill>
      </fill>
    </dxf>
    <dxf>
      <fill>
        <patternFill>
          <bgColor rgb="FFF4CCCC"/>
        </patternFill>
      </fill>
    </dxf>
    <dxf>
      <fill>
        <patternFill>
          <bgColor rgb="FFF4CCCC"/>
        </patternFill>
      </fill>
    </dxf>
    <dxf>
      <fill>
        <patternFill>
          <bgColor rgb="FFF4CCCC"/>
        </patternFill>
      </fill>
    </dxf>
    <dxf>
      <fill>
        <patternFill>
          <bgColor rgb="FFF4CCCC"/>
        </patternFill>
      </fill>
    </dxf>
    <dxf>
      <fill>
        <patternFill>
          <bgColor rgb="FFF4CCCC"/>
        </patternFill>
      </fill>
    </dxf>
    <dxf>
      <fill>
        <patternFill>
          <bgColor rgb="FFF4CCCC"/>
        </patternFill>
      </fill>
    </dxf>
    <dxf>
      <fill>
        <patternFill>
          <bgColor rgb="FFF4CCCC"/>
        </patternFill>
      </fill>
    </dxf>
    <dxf>
      <fill>
        <patternFill>
          <bgColor rgb="FFF4CCCC"/>
        </patternFill>
      </fill>
    </dxf>
    <dxf>
      <fill>
        <patternFill>
          <bgColor rgb="FFF4CCCC"/>
        </patternFill>
      </fill>
    </dxf>
    <dxf>
      <fill>
        <patternFill>
          <bgColor rgb="FFF4CCCC"/>
        </patternFill>
      </fill>
    </dxf>
    <dxf>
      <fill>
        <patternFill>
          <bgColor rgb="FFF4CCCC"/>
        </patternFill>
      </fill>
    </dxf>
    <dxf>
      <fill>
        <patternFill>
          <bgColor rgb="FFF4CCCC"/>
        </patternFill>
      </fill>
    </dxf>
    <dxf>
      <fill>
        <patternFill>
          <bgColor rgb="FFF4CCCC"/>
        </patternFill>
      </fill>
    </dxf>
    <dxf>
      <fill>
        <patternFill>
          <bgColor rgb="FFF4CCCC"/>
        </patternFill>
      </fill>
    </dxf>
    <dxf>
      <fill>
        <patternFill>
          <bgColor rgb="FFF4CCCC"/>
        </patternFill>
      </fill>
    </dxf>
    <dxf>
      <fill>
        <patternFill>
          <bgColor rgb="FFF4CCCC"/>
        </patternFill>
      </fill>
    </dxf>
    <dxf>
      <fill>
        <patternFill>
          <bgColor rgb="FFF4CCCC"/>
        </patternFill>
      </fill>
    </dxf>
    <dxf>
      <fill>
        <patternFill>
          <bgColor rgb="FFF4CCCC"/>
        </patternFill>
      </fill>
    </dxf>
    <dxf>
      <fill>
        <patternFill>
          <bgColor rgb="FFF4CCCC"/>
        </patternFill>
      </fill>
    </dxf>
    <dxf>
      <fill>
        <patternFill>
          <bgColor rgb="FFF4CCCC"/>
        </patternFill>
      </fill>
    </dxf>
    <dxf>
      <fill>
        <patternFill patternType="solid">
          <fgColor rgb="FFF8B6B6"/>
        </patternFill>
      </fill>
    </dxf>
    <dxf>
      <fill>
        <patternFill patternType="solid">
          <fgColor rgb="FFFFE699"/>
        </patternFill>
      </fill>
    </dxf>
    <dxf>
      <fill>
        <patternFill patternType="solid">
          <fgColor rgb="FFC6EFCE"/>
        </patternFill>
      </fill>
    </dxf>
    <dxf>
      <fill>
        <patternFill>
          <bgColor rgb="FFF4CCCC"/>
        </patternFill>
      </fill>
    </dxf>
    <dxf>
      <fill>
        <patternFill>
          <bgColor rgb="FFD9EAD3"/>
        </patternFill>
      </fill>
    </dxf>
    <dxf>
      <fill>
        <patternFill>
          <bgColor rgb="FFFFFFFF"/>
        </patternFill>
      </fill>
    </dxf>
    <dxf>
      <font>
        <b/>
        <i val="0"/>
        <color rgb="FFFFFFFF"/>
      </font>
      <fill>
        <patternFill>
          <bgColor rgb="FF86BC71"/>
        </patternFill>
      </fill>
    </dxf>
    <dxf>
      <alignment vertical="center" textRotation="0" wrapText="1" indent="0" justifyLastLine="0" shrinkToFit="0" readingOrder="0"/>
    </dxf>
    <dxf>
      <alignment vertical="center" textRotation="0" wrapText="1" indent="0" justifyLastLine="0" shrinkToFit="0" readingOrder="0"/>
    </dxf>
    <dxf>
      <alignment vertical="center" textRotation="0" wrapText="1" indent="0" justifyLastLine="0" shrinkToFit="0" readingOrder="0"/>
    </dxf>
    <dxf>
      <numFmt numFmtId="19" formatCode="dd/mm/yyyy"/>
      <alignment vertical="center" textRotation="0" wrapText="1" indent="0" justifyLastLine="0" shrinkToFit="0" readingOrder="0"/>
    </dxf>
    <dxf>
      <alignment vertical="center" textRotation="0" wrapText="1" indent="0" justifyLastLine="0" shrinkToFit="0" readingOrder="0"/>
    </dxf>
    <dxf>
      <alignment vertical="center" textRotation="0" wrapText="1" indent="0" justifyLastLine="0" shrinkToFit="0" readingOrder="0"/>
    </dxf>
    <dxf>
      <alignment vertical="center" textRotation="0" wrapText="1" indent="0" justifyLastLine="0" shrinkToFit="0" readingOrder="0"/>
    </dxf>
    <dxf>
      <alignment vertical="center" textRotation="0" wrapText="1" indent="0" justifyLastLine="0" shrinkToFit="0" readingOrder="0"/>
    </dxf>
    <dxf>
      <alignment vertical="center" textRotation="0" wrapText="1" indent="0" justifyLastLine="0" shrinkToFit="0" readingOrder="0"/>
    </dxf>
    <dxf>
      <alignment vertical="center" textRotation="0" wrapText="1" indent="0" justifyLastLine="0" shrinkToFit="0" readingOrder="0"/>
    </dxf>
    <dxf>
      <numFmt numFmtId="19" formatCode="dd/mm/yyyy"/>
    </dxf>
    <dxf>
      <numFmt numFmtId="19" formatCode="dd/mm/yyyy"/>
    </dxf>
    <dxf>
      <alignment wrapText="1"/>
    </dxf>
    <dxf>
      <alignment wrapText="1"/>
    </dxf>
    <dxf>
      <numFmt numFmtId="19" formatCode="dd/mm/yyyy"/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vertical="center" textRotation="0" wrapText="1" indent="0" justifyLastLine="0" shrinkToFit="0" readingOrder="0"/>
    </dxf>
    <dxf>
      <alignment vertical="center" textRotation="0" wrapText="1" indent="0" justifyLastLine="0" shrinkToFit="0" readingOrder="0"/>
    </dxf>
    <dxf>
      <alignment vertical="center" textRotation="0" wrapText="1" indent="0" justifyLastLine="0" shrinkToFit="0" readingOrder="0"/>
    </dxf>
    <dxf>
      <numFmt numFmtId="19" formatCode="dd/mm/yyyy"/>
      <alignment vertical="center" textRotation="0" wrapText="1" indent="0" justifyLastLine="0" shrinkToFit="0" readingOrder="0"/>
    </dxf>
    <dxf>
      <alignment vertical="center" textRotation="0" wrapText="1" indent="0" justifyLastLine="0" shrinkToFit="0" readingOrder="0"/>
    </dxf>
    <dxf>
      <alignment vertical="center" textRotation="0" wrapText="1" indent="0" justifyLastLine="0" shrinkToFit="0" readingOrder="0"/>
    </dxf>
    <dxf>
      <alignment vertical="center" textRotation="0" wrapText="1" indent="0" justifyLastLine="0" shrinkToFit="0" readingOrder="0"/>
    </dxf>
    <dxf>
      <alignment vertical="center" textRotation="0" wrapText="1" indent="0" justifyLastLine="0" shrinkToFit="0" readingOrder="0"/>
    </dxf>
    <dxf>
      <alignment vertical="center" textRotation="0" wrapText="1" indent="0" justifyLastLine="0" shrinkToFit="0" readingOrder="0"/>
    </dxf>
    <dxf>
      <alignment vertical="center" textRotation="0" wrapText="1" indent="0" justifyLastLine="0" shrinkToFit="0" readingOrder="0"/>
    </dxf>
    <dxf>
      <alignment vertical="center" textRotation="0" wrapText="1" indent="0" justifyLastLine="0" shrinkToFit="0" readingOrder="0"/>
    </dxf>
    <dxf>
      <alignment vertical="center" textRotation="0" wrapText="1" indent="0" justifyLastLine="0" shrinkToFit="0" readingOrder="0"/>
    </dxf>
    <dxf>
      <numFmt numFmtId="19" formatCode="dd/mm/yyyy"/>
      <alignment vertical="center" textRotation="0" wrapText="1" indent="0" justifyLastLine="0" shrinkToFit="0" readingOrder="0"/>
    </dxf>
    <dxf>
      <alignment vertical="center" textRotation="0" wrapText="1" indent="0" justifyLastLine="0" shrinkToFit="0" readingOrder="0"/>
    </dxf>
    <dxf>
      <alignment vertical="center" textRotation="0" wrapText="1" indent="0" justifyLastLine="0" shrinkToFit="0" readingOrder="0"/>
    </dxf>
    <dxf>
      <alignment vertical="center" textRotation="0" wrapText="1" indent="0" justifyLastLine="0" shrinkToFit="0" readingOrder="0"/>
    </dxf>
    <dxf>
      <alignment vertical="center" textRotation="0" wrapText="1" indent="0" justifyLastLine="0" shrinkToFit="0" readingOrder="0"/>
    </dxf>
    <dxf>
      <alignment wrapText="1"/>
    </dxf>
    <dxf>
      <alignment wrapText="1"/>
    </dxf>
    <dxf>
      <alignment wrapText="1"/>
    </dxf>
    <dxf>
      <numFmt numFmtId="19" formatCode="dd/mm/yyyy"/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vertical="center" textRotation="0" wrapText="1" indent="0" justifyLastLine="0" shrinkToFit="0" readingOrder="0"/>
    </dxf>
    <dxf>
      <alignment vertical="center" textRotation="0" wrapText="1" indent="0" justifyLastLine="0" shrinkToFit="0" readingOrder="0"/>
    </dxf>
    <dxf>
      <numFmt numFmtId="19" formatCode="dd/mm/yyyy"/>
      <alignment vertical="center" textRotation="0" wrapText="1" indent="0" justifyLastLine="0" shrinkToFit="0" readingOrder="0"/>
    </dxf>
    <dxf>
      <alignment vertical="center" textRotation="0" wrapText="1" indent="0" justifyLastLine="0" shrinkToFit="0" readingOrder="0"/>
    </dxf>
    <dxf>
      <alignment vertical="center" textRotation="0" wrapText="1" indent="0" justifyLastLine="0" shrinkToFit="0" readingOrder="0"/>
    </dxf>
    <dxf>
      <alignment vertical="center" textRotation="0" wrapText="1" indent="0" justifyLastLine="0" shrinkToFit="0" readingOrder="0"/>
    </dxf>
    <dxf>
      <alignment vertical="center" textRotation="0" wrapText="1" indent="0" justifyLastLine="0" shrinkToFit="0" readingOrder="0"/>
    </dxf>
    <dxf>
      <numFmt numFmtId="19" formatCode="dd/mm/yyyy"/>
    </dxf>
    <dxf>
      <alignment wrapText="1"/>
    </dxf>
    <dxf>
      <alignment wrapText="1"/>
    </dxf>
    <dxf>
      <alignment wrapText="1"/>
    </dxf>
    <dxf>
      <numFmt numFmtId="19" formatCode="dd/mm/yyyy"/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iologyTbl" displayName="BiologyTbl" ref="A3:F27" headerRowDxfId="191" dataDxfId="190" totalsRowDxfId="189">
  <autoFilter ref="A3:F27" xr:uid="{00000000-0009-0000-0100-000001000000}"/>
  <tableColumns count="6">
    <tableColumn id="1" xr3:uid="{00000000-0010-0000-0000-000001000000}" name="Topic" dataDxfId="188"/>
    <tableColumn id="2" xr3:uid="{00000000-0010-0000-0000-000002000000}" name="Status" dataDxfId="187"/>
    <tableColumn id="3" xr3:uid="{00000000-0010-0000-0000-000003000000}" name="Confidence" dataDxfId="186"/>
    <tableColumn id="4" xr3:uid="{00000000-0010-0000-0000-000004000000}" name="Last Revised" dataDxfId="185"/>
    <tableColumn id="6" xr3:uid="{00000000-0010-0000-0000-000006000000}" name="Next Action" dataDxfId="184"/>
    <tableColumn id="5" xr3:uid="{F0BDA802-DA31-4BA7-81BA-FDB612DC37E1}" name="General Notes" dataDxfId="183" totalsRowDxfId="182"/>
  </tableColumns>
  <tableStyleInfo name="TableStyleLight1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hemistryTbl" displayName="ChemistryTbl" ref="A3:F18">
  <autoFilter ref="A3:F18" xr:uid="{00000000-0009-0000-0100-000002000000}"/>
  <tableColumns count="6">
    <tableColumn id="1" xr3:uid="{00000000-0010-0000-0100-000001000000}" name="Topic"/>
    <tableColumn id="2" xr3:uid="{00000000-0010-0000-0100-000002000000}" name="Status"/>
    <tableColumn id="3" xr3:uid="{00000000-0010-0000-0100-000003000000}" name="Confidence"/>
    <tableColumn id="4" xr3:uid="{00000000-0010-0000-0100-000004000000}" name="Last Revised" dataDxfId="181"/>
    <tableColumn id="6" xr3:uid="{00000000-0010-0000-0100-000006000000}" name="Next Action"/>
    <tableColumn id="5" xr3:uid="{DB8974C0-4423-4F62-8CA0-D4A3FA4693EA}" name="General Notes"/>
  </tableColumns>
  <tableStyleInfo name="TableStyleLight1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hysicsTbl" displayName="PhysicsTbl" ref="A3:F18" dataDxfId="180">
  <autoFilter ref="A3:F18" xr:uid="{00000000-0009-0000-0100-000003000000}"/>
  <tableColumns count="6">
    <tableColumn id="1" xr3:uid="{00000000-0010-0000-0200-000001000000}" name="Topic" dataDxfId="179"/>
    <tableColumn id="2" xr3:uid="{00000000-0010-0000-0200-000002000000}" name="Status" dataDxfId="178"/>
    <tableColumn id="3" xr3:uid="{00000000-0010-0000-0200-000003000000}" name="Confidence" dataDxfId="177"/>
    <tableColumn id="4" xr3:uid="{00000000-0010-0000-0200-000004000000}" name="Last Revised" dataDxfId="176"/>
    <tableColumn id="6" xr3:uid="{00000000-0010-0000-0200-000006000000}" name="Next Action" dataDxfId="175"/>
    <tableColumn id="5" xr3:uid="{2C5860E0-C42D-447A-99E8-019207F1E49B}" name="General Notes" dataDxfId="174"/>
  </tableColumns>
  <tableStyleInfo name="TableStyleLight1" showFirstColumn="0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MathematicsTbl" displayName="MathematicsTbl" ref="A3:F18" headerRowDxfId="173" dataDxfId="172" totalsRowDxfId="171">
  <autoFilter ref="A3:F18" xr:uid="{00000000-0009-0000-0100-000004000000}"/>
  <tableColumns count="6">
    <tableColumn id="1" xr3:uid="{00000000-0010-0000-0300-000001000000}" name="Topic" dataDxfId="170"/>
    <tableColumn id="2" xr3:uid="{00000000-0010-0000-0300-000002000000}" name="Status" dataDxfId="169"/>
    <tableColumn id="3" xr3:uid="{00000000-0010-0000-0300-000003000000}" name="Confidence" dataDxfId="168"/>
    <tableColumn id="4" xr3:uid="{00000000-0010-0000-0300-000004000000}" name="Last Revised" dataDxfId="167"/>
    <tableColumn id="6" xr3:uid="{00000000-0010-0000-0300-000006000000}" name="Next Action" dataDxfId="166"/>
    <tableColumn id="5" xr3:uid="{902E25C2-558C-4568-81EE-02B6DDE3EEEE}" name="General Notes" dataDxfId="165" totalsRowDxfId="164"/>
  </tableColumns>
  <tableStyleInfo name="TableStyleLight1" showFirstColumn="0" showLastColumn="0" showRowStripes="0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EnglishLanguageTbl" displayName="EnglishLanguageTbl" ref="A3:F18" dataDxfId="163">
  <autoFilter ref="A3:F18" xr:uid="{00000000-0009-0000-0100-000005000000}"/>
  <tableColumns count="6">
    <tableColumn id="1" xr3:uid="{00000000-0010-0000-0400-000001000000}" name="Topic" dataDxfId="162"/>
    <tableColumn id="2" xr3:uid="{00000000-0010-0000-0400-000002000000}" name="Status" dataDxfId="161"/>
    <tableColumn id="3" xr3:uid="{00000000-0010-0000-0400-000003000000}" name="Confidence" dataDxfId="160"/>
    <tableColumn id="4" xr3:uid="{00000000-0010-0000-0400-000004000000}" name="Last Revised" dataDxfId="159"/>
    <tableColumn id="6" xr3:uid="{00000000-0010-0000-0400-000006000000}" name="Next Action" dataDxfId="158"/>
    <tableColumn id="5" xr3:uid="{75D1410F-47BB-4A48-905A-25CF74BDB786}" name="General Notes" dataDxfId="157"/>
  </tableColumns>
  <tableStyleInfo name="TableStyleLight1" showFirstColumn="0" showLastColumn="0" showRowStripes="0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EnglishLiteratureTbl" displayName="EnglishLiteratureTbl" ref="A3:F18" headerRowDxfId="156" dataDxfId="155" totalsRowDxfId="154">
  <autoFilter ref="A3:F18" xr:uid="{00000000-0009-0000-0100-000006000000}"/>
  <tableColumns count="6">
    <tableColumn id="1" xr3:uid="{00000000-0010-0000-0500-000001000000}" name="Topic" dataDxfId="153"/>
    <tableColumn id="2" xr3:uid="{00000000-0010-0000-0500-000002000000}" name="Status" dataDxfId="152"/>
    <tableColumn id="3" xr3:uid="{00000000-0010-0000-0500-000003000000}" name="Confidence" dataDxfId="151"/>
    <tableColumn id="4" xr3:uid="{00000000-0010-0000-0500-000004000000}" name="Last Revised" dataDxfId="150"/>
    <tableColumn id="6" xr3:uid="{00000000-0010-0000-0500-000006000000}" name="Next Action" dataDxfId="149"/>
    <tableColumn id="5" xr3:uid="{930CE764-AB02-4790-8724-F5622F11644B}" name="General Notes" dataDxfId="148" totalsRowDxfId="147"/>
  </tableColumns>
  <tableStyleInfo name="TableStyleLight1" showFirstColumn="0" showLastColumn="0" showRowStripes="0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GeographyTbl" displayName="GeographyTbl" ref="A3:F18" dataDxfId="146">
  <autoFilter ref="A3:F18" xr:uid="{00000000-0009-0000-0100-000007000000}"/>
  <tableColumns count="6">
    <tableColumn id="1" xr3:uid="{00000000-0010-0000-0600-000001000000}" name="Topic" dataDxfId="145"/>
    <tableColumn id="2" xr3:uid="{00000000-0010-0000-0600-000002000000}" name="Status" dataDxfId="144"/>
    <tableColumn id="3" xr3:uid="{00000000-0010-0000-0600-000003000000}" name="Confidence" dataDxfId="143"/>
    <tableColumn id="4" xr3:uid="{00000000-0010-0000-0600-000004000000}" name="Last Revised" dataDxfId="142"/>
    <tableColumn id="6" xr3:uid="{00000000-0010-0000-0600-000006000000}" name="Next Action" dataDxfId="141"/>
    <tableColumn id="5" xr3:uid="{27D2B179-C2A7-46A7-8BEB-752BF05A8E89}" name="General Notes" dataDxfId="140"/>
  </tableColumns>
  <tableStyleInfo name="TableStyleLight1" showFirstColumn="0" showLastColumn="0" showRowStripes="0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HistoryTbl" displayName="HistoryTbl" ref="A3:F18">
  <autoFilter ref="A3:F18" xr:uid="{00000000-0009-0000-0100-000008000000}"/>
  <tableColumns count="6">
    <tableColumn id="1" xr3:uid="{00000000-0010-0000-0700-000001000000}" name="Topic"/>
    <tableColumn id="2" xr3:uid="{00000000-0010-0000-0700-000002000000}" name="Status"/>
    <tableColumn id="3" xr3:uid="{00000000-0010-0000-0700-000003000000}" name="Confidence"/>
    <tableColumn id="4" xr3:uid="{00000000-0010-0000-0700-000004000000}" name="Last Revised" dataDxfId="139"/>
    <tableColumn id="6" xr3:uid="{00000000-0010-0000-0700-000006000000}" name="Next Action"/>
    <tableColumn id="5" xr3:uid="{28A5B818-9271-4E86-B3A0-50B7055F910C}" name="General Notes"/>
  </tableColumns>
  <tableStyleInfo name="TableStyleLight1" showFirstColumn="0" showLastColumn="0" showRowStripes="0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SpanishTbl" displayName="SpanishTbl" ref="A3:F18">
  <autoFilter ref="A3:F18" xr:uid="{00000000-0009-0000-0100-000009000000}"/>
  <tableColumns count="6">
    <tableColumn id="1" xr3:uid="{00000000-0010-0000-0800-000001000000}" name="Topic"/>
    <tableColumn id="2" xr3:uid="{00000000-0010-0000-0800-000002000000}" name="Status"/>
    <tableColumn id="3" xr3:uid="{00000000-0010-0000-0800-000003000000}" name="Confidence"/>
    <tableColumn id="4" xr3:uid="{00000000-0010-0000-0800-000004000000}" name="Last Revised" dataDxfId="138"/>
    <tableColumn id="6" xr3:uid="{00000000-0010-0000-0800-000006000000}" name="Next Action"/>
    <tableColumn id="5" xr3:uid="{7C8E7108-0749-49A2-855D-B734764E8E58}" name="General Notes"/>
  </tableColumns>
  <tableStyleInfo name="TableStyleLight1" showFirstColumn="0" showLastColumn="0" showRowStripes="0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ComputerScienceTbl" displayName="ComputerScienceTbl" ref="A3:F18" headerRowDxfId="137" dataDxfId="136" totalsRowDxfId="135">
  <autoFilter ref="A3:F18" xr:uid="{00000000-0009-0000-0100-00000A000000}"/>
  <tableColumns count="6">
    <tableColumn id="1" xr3:uid="{00000000-0010-0000-0900-000001000000}" name="Topic" dataDxfId="134"/>
    <tableColumn id="2" xr3:uid="{00000000-0010-0000-0900-000002000000}" name="Status" dataDxfId="133"/>
    <tableColumn id="3" xr3:uid="{00000000-0010-0000-0900-000003000000}" name="Confidence" dataDxfId="132"/>
    <tableColumn id="4" xr3:uid="{00000000-0010-0000-0900-000004000000}" name="Last Revised" dataDxfId="131"/>
    <tableColumn id="6" xr3:uid="{00000000-0010-0000-0900-000006000000}" name="Next Action" dataDxfId="130"/>
    <tableColumn id="5" xr3:uid="{63D6C4F6-C7E6-4663-AE70-5CFDFF770C29}" name="General Notes" dataDxfId="129" totalsRowDxfId="128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FF182-A9DF-49CA-A197-60E29E93D9CE}">
  <dimension ref="A1:K9"/>
  <sheetViews>
    <sheetView zoomScale="85" zoomScaleNormal="85" zoomScaleSheetLayoutView="100" workbookViewId="0">
      <selection activeCell="E8" sqref="E8"/>
    </sheetView>
  </sheetViews>
  <sheetFormatPr defaultRowHeight="15" x14ac:dyDescent="0.25"/>
  <cols>
    <col min="1" max="5" width="18.7109375" customWidth="1"/>
    <col min="7" max="11" width="18.7109375" customWidth="1"/>
  </cols>
  <sheetData>
    <row r="1" spans="1:11" ht="18.75" x14ac:dyDescent="0.3">
      <c r="A1" s="38" t="s">
        <v>0</v>
      </c>
      <c r="G1" s="38" t="s">
        <v>1</v>
      </c>
    </row>
    <row r="2" spans="1:11" ht="24.95" customHeight="1" x14ac:dyDescent="0.3">
      <c r="A2" s="39" t="s">
        <v>2</v>
      </c>
      <c r="B2" s="39" t="s">
        <v>3</v>
      </c>
      <c r="C2" s="39" t="s">
        <v>4</v>
      </c>
      <c r="D2" s="39" t="s">
        <v>5</v>
      </c>
      <c r="E2" s="39" t="s">
        <v>6</v>
      </c>
      <c r="G2" s="39" t="s">
        <v>2</v>
      </c>
      <c r="H2" s="39" t="s">
        <v>3</v>
      </c>
      <c r="I2" s="39" t="s">
        <v>4</v>
      </c>
      <c r="J2" s="39" t="s">
        <v>5</v>
      </c>
      <c r="K2" s="39" t="s">
        <v>6</v>
      </c>
    </row>
    <row r="3" spans="1:11" ht="24.95" customHeight="1" x14ac:dyDescent="0.3">
      <c r="A3" s="40" t="s">
        <v>7</v>
      </c>
      <c r="B3" s="40" t="s">
        <v>8</v>
      </c>
      <c r="C3" s="40" t="s">
        <v>9</v>
      </c>
      <c r="D3" s="40" t="s">
        <v>10</v>
      </c>
      <c r="E3" s="40" t="s">
        <v>11</v>
      </c>
      <c r="G3" s="40" t="s">
        <v>7</v>
      </c>
      <c r="H3" s="40" t="s">
        <v>9</v>
      </c>
      <c r="I3" s="40" t="s">
        <v>8</v>
      </c>
      <c r="J3" s="40" t="s">
        <v>10</v>
      </c>
      <c r="K3" s="40" t="s">
        <v>12</v>
      </c>
    </row>
    <row r="4" spans="1:11" ht="24.95" customHeight="1" x14ac:dyDescent="0.3">
      <c r="A4" s="41" t="s">
        <v>13</v>
      </c>
      <c r="B4" s="41" t="s">
        <v>12</v>
      </c>
      <c r="C4" s="41" t="s">
        <v>14</v>
      </c>
      <c r="D4" s="41" t="s">
        <v>15</v>
      </c>
      <c r="E4" s="41" t="s">
        <v>16</v>
      </c>
      <c r="G4" s="41" t="s">
        <v>13</v>
      </c>
      <c r="H4" s="41" t="s">
        <v>17</v>
      </c>
      <c r="I4" s="41" t="s">
        <v>16</v>
      </c>
      <c r="J4" s="41" t="s">
        <v>14</v>
      </c>
      <c r="K4" s="41" t="s">
        <v>11</v>
      </c>
    </row>
    <row r="5" spans="1:11" ht="24.95" customHeight="1" x14ac:dyDescent="0.3">
      <c r="A5" s="40" t="s">
        <v>18</v>
      </c>
      <c r="B5" s="40" t="s">
        <v>17</v>
      </c>
      <c r="C5" s="40" t="s">
        <v>9</v>
      </c>
      <c r="D5" s="40" t="s">
        <v>19</v>
      </c>
      <c r="E5" s="40" t="s">
        <v>8</v>
      </c>
      <c r="G5" s="40" t="s">
        <v>18</v>
      </c>
      <c r="H5" s="40" t="s">
        <v>19</v>
      </c>
      <c r="I5" s="40" t="s">
        <v>8</v>
      </c>
      <c r="J5" s="40" t="s">
        <v>9</v>
      </c>
      <c r="K5" s="40" t="s">
        <v>15</v>
      </c>
    </row>
    <row r="6" spans="1:11" ht="24.95" customHeight="1" x14ac:dyDescent="0.3">
      <c r="A6" s="41" t="s">
        <v>20</v>
      </c>
      <c r="B6" s="41" t="s">
        <v>16</v>
      </c>
      <c r="C6" s="41" t="s">
        <v>10</v>
      </c>
      <c r="D6" s="41" t="s">
        <v>17</v>
      </c>
      <c r="E6" s="41" t="s">
        <v>11</v>
      </c>
      <c r="G6" s="41" t="s">
        <v>20</v>
      </c>
      <c r="H6" s="41" t="s">
        <v>16</v>
      </c>
      <c r="I6" s="41" t="s">
        <v>17</v>
      </c>
      <c r="J6" s="41" t="s">
        <v>11</v>
      </c>
      <c r="K6" s="41" t="s">
        <v>14</v>
      </c>
    </row>
    <row r="7" spans="1:11" ht="24.95" customHeight="1" x14ac:dyDescent="0.3">
      <c r="A7" s="40" t="s">
        <v>21</v>
      </c>
      <c r="B7" s="40" t="s">
        <v>14</v>
      </c>
      <c r="C7" s="40" t="s">
        <v>9</v>
      </c>
      <c r="D7" s="40" t="s">
        <v>15</v>
      </c>
      <c r="E7" s="40" t="s">
        <v>12</v>
      </c>
      <c r="G7" s="40" t="s">
        <v>21</v>
      </c>
      <c r="H7" s="40" t="s">
        <v>8</v>
      </c>
      <c r="I7" s="40" t="s">
        <v>10</v>
      </c>
      <c r="J7" s="40" t="s">
        <v>9</v>
      </c>
      <c r="K7" s="40" t="s">
        <v>16</v>
      </c>
    </row>
    <row r="8" spans="1:11" ht="24.95" customHeight="1" x14ac:dyDescent="0.3">
      <c r="A8" s="41" t="s">
        <v>22</v>
      </c>
      <c r="B8" s="41" t="s">
        <v>17</v>
      </c>
      <c r="C8" s="41" t="s">
        <v>19</v>
      </c>
      <c r="D8" s="41" t="s">
        <v>23</v>
      </c>
      <c r="E8" s="41" t="s">
        <v>23</v>
      </c>
      <c r="G8" s="41" t="s">
        <v>22</v>
      </c>
      <c r="H8" s="41" t="s">
        <v>17</v>
      </c>
      <c r="I8" s="41" t="s">
        <v>12</v>
      </c>
      <c r="J8" s="41" t="s">
        <v>23</v>
      </c>
      <c r="K8" s="41" t="s">
        <v>23</v>
      </c>
    </row>
    <row r="9" spans="1:11" ht="24.95" customHeight="1" x14ac:dyDescent="0.3">
      <c r="A9" s="40" t="s">
        <v>24</v>
      </c>
      <c r="B9" s="40" t="s">
        <v>8</v>
      </c>
      <c r="C9" s="40" t="s">
        <v>16</v>
      </c>
      <c r="D9" s="40" t="s">
        <v>23</v>
      </c>
      <c r="E9" s="40" t="s">
        <v>23</v>
      </c>
      <c r="G9" s="40" t="s">
        <v>24</v>
      </c>
      <c r="H9" s="40" t="s">
        <v>19</v>
      </c>
      <c r="I9" s="40" t="s">
        <v>15</v>
      </c>
      <c r="J9" s="40" t="s">
        <v>23</v>
      </c>
      <c r="K9" s="40" t="s">
        <v>23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100"/>
  <sheetViews>
    <sheetView showGridLines="0" tabSelected="1" topLeftCell="A15" zoomScale="85" zoomScaleNormal="85" workbookViewId="0">
      <selection activeCell="B28" sqref="B28"/>
    </sheetView>
  </sheetViews>
  <sheetFormatPr defaultRowHeight="15" x14ac:dyDescent="0.25"/>
  <cols>
    <col min="1" max="1" width="22.7109375" customWidth="1"/>
    <col min="2" max="8" width="14.7109375" customWidth="1"/>
    <col min="9" max="9" width="15.85546875" customWidth="1"/>
    <col min="10" max="10" width="18.7109375" customWidth="1"/>
    <col min="14" max="14" width="13" hidden="1" customWidth="1"/>
    <col min="27" max="30" width="2.7109375" hidden="1" customWidth="1"/>
  </cols>
  <sheetData>
    <row r="1" spans="1:14" ht="39.950000000000003" customHeight="1" x14ac:dyDescent="0.25">
      <c r="A1" s="67" t="s">
        <v>25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N1" t="s">
        <v>26</v>
      </c>
    </row>
    <row r="2" spans="1:14" ht="8.1" customHeight="1" x14ac:dyDescent="0.25">
      <c r="N2" t="s">
        <v>17</v>
      </c>
    </row>
    <row r="3" spans="1:14" ht="26.1" customHeight="1" x14ac:dyDescent="0.3">
      <c r="A3" s="65" t="s">
        <v>27</v>
      </c>
      <c r="B3" s="66"/>
      <c r="C3" s="66"/>
      <c r="D3" s="66"/>
      <c r="E3" s="66"/>
      <c r="F3" s="66"/>
      <c r="N3" t="s">
        <v>14</v>
      </c>
    </row>
    <row r="4" spans="1:14" x14ac:dyDescent="0.25">
      <c r="N4" t="s">
        <v>8</v>
      </c>
    </row>
    <row r="5" spans="1:14" ht="20.100000000000001" customHeight="1" x14ac:dyDescent="0.25">
      <c r="A5" s="5" t="s">
        <v>28</v>
      </c>
      <c r="C5" s="5" t="s">
        <v>29</v>
      </c>
      <c r="E5" s="5" t="s">
        <v>30</v>
      </c>
      <c r="G5" s="5" t="s">
        <v>31</v>
      </c>
      <c r="N5" t="s">
        <v>19</v>
      </c>
    </row>
    <row r="6" spans="1:14" ht="38.1" customHeight="1" x14ac:dyDescent="0.25">
      <c r="A6" s="72">
        <f ca="1">SUMPRODUCT(COUNTIFS(INDIRECT("'"&amp;Subjects&amp;"'!A4:A1000"),"?*"))</f>
        <v>57</v>
      </c>
      <c r="B6" s="69"/>
      <c r="C6" s="74">
        <f ca="1">A6-E6-G6</f>
        <v>33</v>
      </c>
      <c r="D6" s="69"/>
      <c r="E6" s="73">
        <f ca="1">SUMPRODUCT(COUNTIFS(INDIRECT("'"&amp;Subjects&amp;"'!A4:A1000"),"?*",INDIRECT("'"&amp;Subjects&amp;"'!B4:B1000"),"In Progress"))</f>
        <v>6</v>
      </c>
      <c r="F6" s="69"/>
      <c r="G6" s="68">
        <f ca="1">SUMPRODUCT(COUNTIFS(INDIRECT("'"&amp;Subjects&amp;"'!A4:A1000"),"?*",INDIRECT("'"&amp;Subjects&amp;"'!B4:B1000"),"Completed"))</f>
        <v>18</v>
      </c>
      <c r="H6" s="69"/>
      <c r="N6" t="s">
        <v>16</v>
      </c>
    </row>
    <row r="7" spans="1:14" x14ac:dyDescent="0.25">
      <c r="N7" t="s">
        <v>9</v>
      </c>
    </row>
    <row r="8" spans="1:14" ht="20.100000000000001" customHeight="1" x14ac:dyDescent="0.25">
      <c r="A8" s="5" t="s">
        <v>32</v>
      </c>
      <c r="C8" s="5" t="s">
        <v>33</v>
      </c>
      <c r="N8" t="s">
        <v>12</v>
      </c>
    </row>
    <row r="9" spans="1:14" ht="38.1" customHeight="1" x14ac:dyDescent="0.25">
      <c r="A9" s="71">
        <f ca="1">SUMPRODUCT(COUNTIFS(INDIRECT("'"&amp;Subjects&amp;"'!A4:A1000"),"?*",INDIRECT("'"&amp;Subjects&amp;"'!C4:C1000"),"Amber"))</f>
        <v>5</v>
      </c>
      <c r="B9" s="69"/>
      <c r="C9" s="70">
        <f ca="1">SUMPRODUCT(COUNTIFS(INDIRECT("'"&amp;Subjects&amp;"'!A4:A1000"),"?*",INDIRECT("'"&amp;Subjects&amp;"'!C4:C1000"),"Red"))</f>
        <v>1</v>
      </c>
      <c r="D9" s="69"/>
      <c r="N9" t="s">
        <v>10</v>
      </c>
    </row>
    <row r="10" spans="1:14" x14ac:dyDescent="0.25">
      <c r="N10" t="s">
        <v>11</v>
      </c>
    </row>
    <row r="11" spans="1:14" ht="9.9499999999999993" customHeight="1" x14ac:dyDescent="0.25">
      <c r="N11" t="s">
        <v>15</v>
      </c>
    </row>
    <row r="12" spans="1:14" ht="26.1" customHeight="1" x14ac:dyDescent="0.3">
      <c r="A12" s="65" t="s">
        <v>34</v>
      </c>
      <c r="B12" s="66"/>
      <c r="C12" s="66"/>
      <c r="D12" s="66"/>
      <c r="E12" s="66"/>
      <c r="F12" s="66"/>
      <c r="G12" s="66"/>
      <c r="H12" s="66"/>
    </row>
    <row r="13" spans="1:14" ht="30" customHeight="1" x14ac:dyDescent="0.25">
      <c r="A13" s="26" t="s">
        <v>35</v>
      </c>
      <c r="B13" s="27" t="s">
        <v>36</v>
      </c>
      <c r="C13" s="27" t="s">
        <v>29</v>
      </c>
      <c r="D13" s="27" t="s">
        <v>30</v>
      </c>
      <c r="E13" s="27" t="s">
        <v>31</v>
      </c>
      <c r="F13" s="27" t="s">
        <v>37</v>
      </c>
      <c r="G13" s="27" t="s">
        <v>32</v>
      </c>
      <c r="H13" s="44" t="s">
        <v>33</v>
      </c>
      <c r="I13" s="48" t="s">
        <v>38</v>
      </c>
      <c r="J13" s="45" t="s">
        <v>39</v>
      </c>
    </row>
    <row r="14" spans="1:14" ht="24.95" customHeight="1" x14ac:dyDescent="0.25">
      <c r="A14" s="22" t="s">
        <v>17</v>
      </c>
      <c r="B14" s="23">
        <f ca="1">SUMPRODUCT(COUNTIFS(INDIRECT("'Biology'!A4:A1000"),"?*"))</f>
        <v>8</v>
      </c>
      <c r="C14" s="23">
        <f t="shared" ref="C14:C23" ca="1" si="0">B14-D14-E14</f>
        <v>3</v>
      </c>
      <c r="D14" s="23">
        <f ca="1">SUMPRODUCT(COUNTIFS(INDIRECT("'Biology'!A4:A1000"),"?*",INDIRECT("'Biology'!B4:B1000"),"In Progress"))</f>
        <v>0</v>
      </c>
      <c r="E14" s="23">
        <f ca="1">SUMPRODUCT(COUNTIFS(INDIRECT("'Biology'!A4:A1000"),"?*",INDIRECT("'Biology'!B4:B1000"),"Completed"))</f>
        <v>5</v>
      </c>
      <c r="F14" s="23">
        <f ca="1">SUMPRODUCT(COUNTIFS(INDIRECT("'Biology'!A4:A1000"),"?*",INDIRECT("'Biology'!C4:C1000"),"Green"))</f>
        <v>5</v>
      </c>
      <c r="G14" s="23">
        <f ca="1">SUMPRODUCT(COUNTIFS(INDIRECT("'Biology'!A4:A1000"),"?*",INDIRECT("'Biology'!C4:C1000"),"Amber"))</f>
        <v>0</v>
      </c>
      <c r="H14" s="46">
        <f ca="1">SUMPRODUCT(COUNTIFS(INDIRECT("'Biology'!A4:A1000"),"?*",INDIRECT("'Biology'!C4:C1000"),"Red"))</f>
        <v>0</v>
      </c>
      <c r="I14" s="52">
        <f t="shared" ref="I14:I23" ca="1" si="1">IFERROR(E14/B14, 0)</f>
        <v>0.625</v>
      </c>
      <c r="J14" s="47" t="str">
        <f ca="1">IF(MAX(Biology!D4:D1000)=0, "-", IF(MAX(Biology!D4:D1000)=TODAY(), "Today", IF(TODAY()-MAX(Biology!D4:D1000)=1, "Yesterday", TODAY()-MAX(Biology!D4:D1000) &amp; " days ago")))</f>
        <v>Today</v>
      </c>
    </row>
    <row r="15" spans="1:14" ht="24.95" customHeight="1" x14ac:dyDescent="0.25">
      <c r="A15" s="24" t="s">
        <v>14</v>
      </c>
      <c r="B15" s="25">
        <f ca="1">SUMPRODUCT(COUNTIFS(INDIRECT("'Chemistry'!A4:A1000"),"?*"))</f>
        <v>8</v>
      </c>
      <c r="C15" s="25">
        <f t="shared" ca="1" si="0"/>
        <v>5</v>
      </c>
      <c r="D15" s="25">
        <f ca="1">SUMPRODUCT(COUNTIFS(INDIRECT("'Chemistry'!A4:A1000"),"?*",INDIRECT("'Chemistry'!B4:B1000"),"In Progress"))</f>
        <v>0</v>
      </c>
      <c r="E15" s="25">
        <f ca="1">SUMPRODUCT(COUNTIFS(INDIRECT("'Chemistry'!A4:A1000"),"?*",INDIRECT("'Chemistry'!B4:B1000"),"Completed"))</f>
        <v>3</v>
      </c>
      <c r="F15" s="25">
        <f ca="1">SUMPRODUCT(COUNTIFS(INDIRECT("'Chemistry'!A4:A1000"),"?*",INDIRECT("'Chemistry'!C4:C1000"),"Green"))</f>
        <v>3</v>
      </c>
      <c r="G15" s="25">
        <f ca="1">SUMPRODUCT(COUNTIFS(INDIRECT("'Chemistry'!A4:A1000"),"?*",INDIRECT("'Chemistry'!C4:C1000"),"Amber"))</f>
        <v>0</v>
      </c>
      <c r="H15" s="50">
        <f ca="1">SUMPRODUCT(COUNTIFS(INDIRECT("'Chemistry'!A4:A1000"),"?*",INDIRECT("'Chemistry'!C4:C1000"),"Red"))</f>
        <v>0</v>
      </c>
      <c r="I15" s="53">
        <f t="shared" ca="1" si="1"/>
        <v>0.375</v>
      </c>
      <c r="J15" s="51" t="str">
        <f ca="1">IF(MAX(Chemistry!D4:D1000)=0, "N/A", IF(MAX(Chemistry!D4:D1000)=TODAY(), "Today", IF(TODAY()-MAX(Chemistry!D4:D1000)=1, "Yesterday", TODAY()-MAX(Chemistry!D4:D1000) &amp; " days ago")))</f>
        <v>Yesterday</v>
      </c>
    </row>
    <row r="16" spans="1:14" ht="24.95" customHeight="1" x14ac:dyDescent="0.25">
      <c r="A16" s="22" t="s">
        <v>8</v>
      </c>
      <c r="B16" s="23">
        <f ca="1">SUMPRODUCT(COUNTIFS(INDIRECT("'Physics'!A4:A1000"),"?*"))</f>
        <v>7</v>
      </c>
      <c r="C16" s="23">
        <f t="shared" ca="1" si="0"/>
        <v>4</v>
      </c>
      <c r="D16" s="23">
        <f ca="1">SUMPRODUCT(COUNTIFS(INDIRECT("'Physics'!A4:A1000"),"?*",INDIRECT("'Physics'!B4:B1000"),"In Progress"))</f>
        <v>0</v>
      </c>
      <c r="E16" s="23">
        <f ca="1">SUMPRODUCT(COUNTIFS(INDIRECT("'Physics'!A4:A1000"),"?*",INDIRECT("'Physics'!B4:B1000"),"Completed"))</f>
        <v>3</v>
      </c>
      <c r="F16" s="23">
        <f ca="1">SUMPRODUCT(COUNTIFS(INDIRECT("'Physics'!A4:A1000"),"?*",INDIRECT("'Physics'!C4:C1000"),"Green"))</f>
        <v>3</v>
      </c>
      <c r="G16" s="23">
        <f ca="1">SUMPRODUCT(COUNTIFS(INDIRECT("'Physics'!A4:A1000"),"?*",INDIRECT("'Physics'!C4:C1000"),"Amber"))</f>
        <v>0</v>
      </c>
      <c r="H16" s="46">
        <f ca="1">SUMPRODUCT(COUNTIFS(INDIRECT("'Physics'!A4:A1000"),"?*",INDIRECT("'Physics'!C4:C1000"),"Red"))</f>
        <v>0</v>
      </c>
      <c r="I16" s="52">
        <f t="shared" ca="1" si="1"/>
        <v>0.42857142857142855</v>
      </c>
      <c r="J16" s="47" t="str">
        <f ca="1">IF(MAX(Physics!D4:D1000)=0, "-", IF(MAX(Physics!D4:D1000)=TODAY(), "Today", IF(TODAY()-MAX(Physics!D4:D1000)=1, "Yesterday", TODAY()-MAX(Physics!D4:D1000) &amp; " days ago")))</f>
        <v>3 days ago</v>
      </c>
    </row>
    <row r="17" spans="1:30" ht="24.95" customHeight="1" x14ac:dyDescent="0.25">
      <c r="A17" s="24" t="s">
        <v>19</v>
      </c>
      <c r="B17" s="25">
        <f ca="1">SUMPRODUCT(COUNTIFS(INDIRECT("'Mathematics'!A4:A1000"),"?*"))</f>
        <v>1</v>
      </c>
      <c r="C17" s="25">
        <f t="shared" ca="1" si="0"/>
        <v>0</v>
      </c>
      <c r="D17" s="25">
        <f ca="1">SUMPRODUCT(COUNTIFS(INDIRECT("'Mathematics'!A4:A1000"),"?*",INDIRECT("'Mathematics'!B4:B1000"),"In Progress"))</f>
        <v>1</v>
      </c>
      <c r="E17" s="25">
        <f ca="1">SUMPRODUCT(COUNTIFS(INDIRECT("'Mathematics'!A4:A1000"),"?*",INDIRECT("'Mathematics'!B4:B1000"),"Completed"))</f>
        <v>0</v>
      </c>
      <c r="F17" s="25">
        <f ca="1">SUMPRODUCT(COUNTIFS(INDIRECT("'Mathematics'!A4:A1000"),"?*",INDIRECT("'Mathematics'!C4:C1000"),"Green"))</f>
        <v>1</v>
      </c>
      <c r="G17" s="25">
        <f ca="1">SUMPRODUCT(COUNTIFS(INDIRECT("'Mathematics'!A4:A1000"),"?*",INDIRECT("'Mathematics'!C4:C1000"),"Amber"))</f>
        <v>0</v>
      </c>
      <c r="H17" s="50">
        <f ca="1">SUMPRODUCT(COUNTIFS(INDIRECT("'Mathematics'!A4:A1000"),"?*",INDIRECT("'Mathematics'!C4:C1000"),"Red"))</f>
        <v>0</v>
      </c>
      <c r="I17" s="53">
        <f t="shared" ca="1" si="1"/>
        <v>0</v>
      </c>
      <c r="J17" s="51" t="str">
        <f ca="1">IF(MAX(Mathematics!D4:D1000)=0, "-", IF(MAX(Mathematics!D4:D1000)=TODAY(), "Today", IF(TODAY()-MAX(Mathematics!D4:D1000)=1, "Yesterday", TODAY()-MAX(Mathematics!D4:D1000) &amp; " days ago")))</f>
        <v>Today</v>
      </c>
    </row>
    <row r="18" spans="1:30" ht="24.95" customHeight="1" x14ac:dyDescent="0.25">
      <c r="A18" s="22" t="s">
        <v>16</v>
      </c>
      <c r="B18" s="23">
        <f ca="1">SUMPRODUCT(COUNTIFS(INDIRECT("'English Language'!A4:A1000"),"?*"))</f>
        <v>9</v>
      </c>
      <c r="C18" s="23">
        <f t="shared" ca="1" si="0"/>
        <v>4</v>
      </c>
      <c r="D18" s="23">
        <f ca="1">SUMPRODUCT(COUNTIFS(INDIRECT("'English Language'!A4:A1000"),"?*",INDIRECT("'English Language'!B4:B1000"),"In Progress"))</f>
        <v>0</v>
      </c>
      <c r="E18" s="23">
        <f ca="1">SUMPRODUCT(COUNTIFS(INDIRECT("'English Language'!A4:A1000"),"?*",INDIRECT("'English Language'!B4:B1000"),"Completed"))</f>
        <v>5</v>
      </c>
      <c r="F18" s="23">
        <f ca="1">SUMPRODUCT(COUNTIFS(INDIRECT("'English Language'!A4:A1000"),"?*",INDIRECT("'English Language'!C4:C1000"),"Green"))</f>
        <v>1</v>
      </c>
      <c r="G18" s="23">
        <f ca="1">SUMPRODUCT(COUNTIFS(INDIRECT("'English Language'!A4:A1000"),"?*",INDIRECT("'English Language'!C4:C1000"),"Amber"))</f>
        <v>3</v>
      </c>
      <c r="H18" s="46">
        <f ca="1">SUMPRODUCT(COUNTIFS(INDIRECT("'English Language'!A4:A1000"),"?*",INDIRECT("'English Language'!C4:C1000"),"Red"))</f>
        <v>1</v>
      </c>
      <c r="I18" s="52">
        <f t="shared" ca="1" si="1"/>
        <v>0.55555555555555558</v>
      </c>
      <c r="J18" s="47" t="str">
        <f ca="1">IF(MAX('English Language'!D4:D1000)=0, "-", IF(MAX('English Language'!D4:D1000)=TODAY(), "Today", IF(TODAY()-MAX('English Language'!D4:D1000)=1, "Yesterday", TODAY()-MAX('English Language'!D4:D1000) &amp; " days ago")))</f>
        <v>2 days ago</v>
      </c>
    </row>
    <row r="19" spans="1:30" ht="24.95" customHeight="1" x14ac:dyDescent="0.25">
      <c r="A19" s="24" t="s">
        <v>9</v>
      </c>
      <c r="B19" s="25">
        <f ca="1">SUMPRODUCT(COUNTIFS(INDIRECT("'English Literature'!A4:A1000"),"?*"))</f>
        <v>6</v>
      </c>
      <c r="C19" s="25">
        <f t="shared" ca="1" si="0"/>
        <v>5</v>
      </c>
      <c r="D19" s="25">
        <f ca="1">SUMPRODUCT(COUNTIFS(INDIRECT("'English Literature'!A4:A1000"),"?*",INDIRECT("'English Literature'!B4:B1000"),"In Progress"))</f>
        <v>1</v>
      </c>
      <c r="E19" s="25">
        <f ca="1">SUMPRODUCT(COUNTIFS(INDIRECT("'English Literature'!A4:A1000"),"?*",INDIRECT("'English Literature'!B4:B1000"),"Completed"))</f>
        <v>0</v>
      </c>
      <c r="F19" s="25">
        <f ca="1">SUMPRODUCT(COUNTIFS(INDIRECT("'English Literature'!A4:A1000"),"?*",INDIRECT("'English Literature'!C4:C1000"),"Green"))</f>
        <v>0</v>
      </c>
      <c r="G19" s="25">
        <f ca="1">SUMPRODUCT(COUNTIFS(INDIRECT("'English Literature'!A4:A1000"),"?*",INDIRECT("'English Literature'!C4:C1000"),"Amber"))</f>
        <v>1</v>
      </c>
      <c r="H19" s="50">
        <f ca="1">SUMPRODUCT(COUNTIFS(INDIRECT("'English Literature'!A4:A1000"),"?*",INDIRECT("'English Literature'!C4:C1000"),"Red"))</f>
        <v>0</v>
      </c>
      <c r="I19" s="53">
        <f t="shared" ca="1" si="1"/>
        <v>0</v>
      </c>
      <c r="J19" s="51" t="str">
        <f ca="1">IF(MAX('English Literature'!D4:D1000)=0, "-", IF(MAX('English Literature'!D4:D1000)=TODAY(), "Today", IF(TODAY()-MAX('English Literature'!D4:D1000)=1, "Yesterday", TODAY()-MAX('English Literature'!D4:D1000) &amp; " days ago")))</f>
        <v>Yesterday</v>
      </c>
    </row>
    <row r="20" spans="1:30" ht="24.95" customHeight="1" x14ac:dyDescent="0.25">
      <c r="A20" s="22" t="s">
        <v>12</v>
      </c>
      <c r="B20" s="23">
        <f ca="1">SUMPRODUCT(COUNTIFS(INDIRECT("'Geography'!A4:A1000"),"?*"))</f>
        <v>5</v>
      </c>
      <c r="C20" s="23">
        <f t="shared" ca="1" si="0"/>
        <v>3</v>
      </c>
      <c r="D20" s="23">
        <f ca="1">SUMPRODUCT(COUNTIFS(INDIRECT("'Geography'!A4:A1000"),"?*",INDIRECT("'Geography'!B4:B1000"),"In Progress"))</f>
        <v>1</v>
      </c>
      <c r="E20" s="23">
        <f ca="1">SUMPRODUCT(COUNTIFS(INDIRECT("'Geography'!A4:A1000"),"?*",INDIRECT("'Geography'!B4:B1000"),"Completed"))</f>
        <v>1</v>
      </c>
      <c r="F20" s="23">
        <f ca="1">SUMPRODUCT(COUNTIFS(INDIRECT("'Geography'!A4:A1000"),"?*",INDIRECT("'Geography'!C4:C1000"),"Green"))</f>
        <v>2</v>
      </c>
      <c r="G20" s="23">
        <f ca="1">SUMPRODUCT(COUNTIFS(INDIRECT("'Geography'!A4:A1000"),"?*",INDIRECT("'Geography'!C4:C1000"),"Amber"))</f>
        <v>0</v>
      </c>
      <c r="H20" s="46">
        <f ca="1">SUMPRODUCT(COUNTIFS(INDIRECT("'Geography'!A4:A1000"),"?*",INDIRECT("'Geography'!C4:C1000"),"Red"))</f>
        <v>0</v>
      </c>
      <c r="I20" s="52">
        <f t="shared" ca="1" si="1"/>
        <v>0.2</v>
      </c>
      <c r="J20" s="47" t="str">
        <f ca="1">IF(MAX(Geography!D4:D1000)=0, "-", IF(MAX(Geography!D4:D1000)=TODAY(), "Today", IF(TODAY()-MAX(Geography!D4:D1000)=1, "Yesterday", TODAY()-MAX(Geography!D4:D1000) &amp; " days ago")))</f>
        <v>Yesterday</v>
      </c>
    </row>
    <row r="21" spans="1:30" ht="24.95" customHeight="1" x14ac:dyDescent="0.25">
      <c r="A21" s="24" t="s">
        <v>10</v>
      </c>
      <c r="B21" s="25">
        <f ca="1">SUMPRODUCT(COUNTIFS(INDIRECT("'History'!A4:A1000"),"?*"))</f>
        <v>3</v>
      </c>
      <c r="C21" s="25">
        <f t="shared" ca="1" si="0"/>
        <v>2</v>
      </c>
      <c r="D21" s="25">
        <f ca="1">SUMPRODUCT(COUNTIFS(INDIRECT("'History'!A4:A1000"),"?*",INDIRECT("'History'!B4:B1000"),"In Progress"))</f>
        <v>1</v>
      </c>
      <c r="E21" s="25">
        <f ca="1">SUMPRODUCT(COUNTIFS(INDIRECT("'History'!A4:A1000"),"?*",INDIRECT("'History'!B4:B1000"),"Completed"))</f>
        <v>0</v>
      </c>
      <c r="F21" s="25">
        <f ca="1">SUMPRODUCT(COUNTIFS(INDIRECT("'History'!A4:A1000"),"?*",INDIRECT("'History'!C4:C1000"),"Green"))</f>
        <v>1</v>
      </c>
      <c r="G21" s="25">
        <f ca="1">SUMPRODUCT(COUNTIFS(INDIRECT("'History'!A4:A1000"),"?*",INDIRECT("'History'!C4:C1000"),"Amber"))</f>
        <v>0</v>
      </c>
      <c r="H21" s="50">
        <f ca="1">SUMPRODUCT(COUNTIFS(INDIRECT("'History'!A4:A1000"),"?*",INDIRECT("'History'!C4:C1000"),"Red"))</f>
        <v>0</v>
      </c>
      <c r="I21" s="53">
        <f t="shared" ca="1" si="1"/>
        <v>0</v>
      </c>
      <c r="J21" s="51" t="str">
        <f ca="1">IF(MAX(History!D4:D1000)=0, "-", IF(MAX(History!D4:D1000)=TODAY(), "Today", IF(TODAY()-MAX(History!D4:D1000)=1, "Yesterday", TODAY()-MAX(History!D4:D1000) &amp; " days ago")))</f>
        <v>2 days ago</v>
      </c>
    </row>
    <row r="22" spans="1:30" ht="24.95" customHeight="1" x14ac:dyDescent="0.25">
      <c r="A22" s="22" t="s">
        <v>11</v>
      </c>
      <c r="B22" s="23">
        <f ca="1">SUMPRODUCT(COUNTIFS(INDIRECT("'Spanish'!A4:A1000"),"?*"))</f>
        <v>4</v>
      </c>
      <c r="C22" s="23">
        <f t="shared" ca="1" si="0"/>
        <v>3</v>
      </c>
      <c r="D22" s="23">
        <f ca="1">SUMPRODUCT(COUNTIFS(INDIRECT("'Spanish'!A4:A1000"),"?*",INDIRECT("'Spanish'!B4:B1000"),"In Progress"))</f>
        <v>1</v>
      </c>
      <c r="E22" s="23">
        <f ca="1">SUMPRODUCT(COUNTIFS(INDIRECT("'Spanish'!A4:A1000"),"?*",INDIRECT("'Spanish'!B4:B1000"),"Completed"))</f>
        <v>0</v>
      </c>
      <c r="F22" s="23">
        <f ca="1">SUMPRODUCT(COUNTIFS(INDIRECT("'Spanish'!A4:A1000"),"?*",INDIRECT("'Spanish'!C4:C1000"),"Green"))</f>
        <v>1</v>
      </c>
      <c r="G22" s="23">
        <f ca="1">SUMPRODUCT(COUNTIFS(INDIRECT("'Spanish'!A4:A1000"),"?*",INDIRECT("'Spanish'!C4:C1000"),"Amber"))</f>
        <v>0</v>
      </c>
      <c r="H22" s="46">
        <f ca="1">SUMPRODUCT(COUNTIFS(INDIRECT("'Spanish'!A4:A1000"),"?*",INDIRECT("'Spanish'!C4:C1000"),"Red"))</f>
        <v>0</v>
      </c>
      <c r="I22" s="52">
        <f t="shared" ca="1" si="1"/>
        <v>0</v>
      </c>
      <c r="J22" s="47" t="str">
        <f ca="1">IF(MAX(Spanish!D4:D1000)=0, "-", IF(MAX(Spanish!D4:D1000)=TODAY(), "Today", IF(TODAY()-MAX(Spanish!D4:D1000)=1, "Yesterday", TODAY()-MAX(Spanish!D4:D1000) &amp; " days ago")))</f>
        <v>2 days ago</v>
      </c>
    </row>
    <row r="23" spans="1:30" ht="24.95" customHeight="1" x14ac:dyDescent="0.25">
      <c r="A23" s="24" t="s">
        <v>15</v>
      </c>
      <c r="B23" s="25">
        <f ca="1">SUMPRODUCT(COUNTIFS(INDIRECT("'Computer Science'!A4:A1000"),"?*"))</f>
        <v>6</v>
      </c>
      <c r="C23" s="25">
        <f t="shared" ca="1" si="0"/>
        <v>4</v>
      </c>
      <c r="D23" s="25">
        <f ca="1">SUMPRODUCT(COUNTIFS(INDIRECT("'Computer Science'!A4:A1000"),"?*",INDIRECT("'Computer Science'!B4:B1000"),"In Progress"))</f>
        <v>1</v>
      </c>
      <c r="E23" s="25">
        <f ca="1">SUMPRODUCT(COUNTIFS(INDIRECT("'Computer Science'!A4:A1000"),"?*",INDIRECT("'Computer Science'!B4:B1000"),"Completed"))</f>
        <v>1</v>
      </c>
      <c r="F23" s="25">
        <f ca="1">SUMPRODUCT(COUNTIFS(INDIRECT("'Computer Science'!A4:A1000"),"?*",INDIRECT("'Computer Science'!C4:C1000"),"Green"))</f>
        <v>1</v>
      </c>
      <c r="G23" s="25">
        <f ca="1">SUMPRODUCT(COUNTIFS(INDIRECT("'Computer Science'!A4:A1000"),"?*",INDIRECT("'Computer Science'!C4:C1000"),"Amber"))</f>
        <v>1</v>
      </c>
      <c r="H23" s="50">
        <f ca="1">SUMPRODUCT(COUNTIFS(INDIRECT("'Computer Science'!A4:A1000"),"?*",INDIRECT("'Computer Science'!C4:C1000"),"Red"))</f>
        <v>0</v>
      </c>
      <c r="I23" s="49">
        <f t="shared" ca="1" si="1"/>
        <v>0.16666666666666666</v>
      </c>
      <c r="J23" s="51" t="str">
        <f ca="1">IF(MAX('Computer Science'!D4:D1000)=0, "-", IF(MAX('Computer Science'!D4:D1000)=TODAY(), "Today", IF(TODAY()-MAX('Computer Science'!D4:D1000)=1, "Yesterday", TODAY()-MAX('Computer Science'!D4:D1000) &amp; " days ago")))</f>
        <v>Yesterday</v>
      </c>
    </row>
    <row r="25" spans="1:30" ht="24.95" customHeight="1" x14ac:dyDescent="0.3">
      <c r="A25" s="38" t="s">
        <v>40</v>
      </c>
    </row>
    <row r="26" spans="1:30" ht="45" customHeight="1" x14ac:dyDescent="0.25">
      <c r="A26" s="62" t="s">
        <v>3</v>
      </c>
      <c r="B26" s="62"/>
      <c r="C26" s="62" t="s">
        <v>4</v>
      </c>
      <c r="D26" s="62"/>
      <c r="E26" s="62" t="s">
        <v>5</v>
      </c>
      <c r="F26" s="62"/>
      <c r="G26" s="62" t="s">
        <v>6</v>
      </c>
      <c r="H26" s="62"/>
      <c r="I26" s="43"/>
    </row>
    <row r="27" spans="1:30" ht="45" customHeight="1" x14ac:dyDescent="0.25">
      <c r="A27" s="64" t="str">
        <f ca="1">IFERROR(HYPERLINK("#'"&amp;INDEX('Revision Timetable'!B2:E8, MATCH(TEXT(TODAY(),"dddd"), 'Revision Timetable'!A2:A8, 0), 1)&amp;"'!A4", INDEX('Revision Timetable'!B2:E8, MATCH(TEXT(TODAY(),"dddd"), 'Revision Timetable'!A2:A8, 0), 1)), "-")</f>
        <v>Biology</v>
      </c>
      <c r="B27" s="64"/>
      <c r="C27" s="64" t="str">
        <f ca="1">IFERROR(HYPERLINK("#'"&amp;INDEX('Revision Timetable'!B2:E8, MATCH(TEXT(TODAY(),"dddd"), 'Revision Timetable'!A2:A8, 0), 2)&amp;"'!A4", INDEX('Revision Timetable'!B2:E8, MATCH(TEXT(TODAY(),"dddd"), 'Revision Timetable'!A2:A8, 0), 2)), "-")</f>
        <v>Mathematics</v>
      </c>
      <c r="D27" s="64"/>
      <c r="E27" s="63" t="str">
        <f ca="1">IFERROR(HYPERLINK("#'"&amp;INDEX('Revision Timetable'!B2:E8, MATCH(TEXT(TODAY(),"dddd"), 'Revision Timetable'!A2:A8, 0), 3)&amp;"'!A4", INDEX('Revision Timetable'!B2:E8, MATCH(TEXT(TODAY(),"dddd"), 'Revision Timetable'!A2:A8, 0), 3)), "-")</f>
        <v>-</v>
      </c>
      <c r="F27" s="63"/>
      <c r="G27" s="63" t="str">
        <f ca="1">IFERROR(HYPERLINK("#'"&amp;INDEX('Revision Timetable'!B2:E8, MATCH(TEXT(TODAY(),"dddd"), 'Revision Timetable'!A2:A8, 0), 4)&amp;"'!A4", INDEX('Revision Timetable'!B2:E8, MATCH(TEXT(TODAY(),"dddd"), 'Revision Timetable'!A2:A8, 0), 4)), "-")</f>
        <v>-</v>
      </c>
      <c r="H27" s="63"/>
      <c r="AA27" s="42" t="b">
        <f ca="1">IFERROR(VLOOKUP(A27, $A$13:$J$23, 9, FALSE)="Today", FALSE)</f>
        <v>0</v>
      </c>
      <c r="AB27" s="42" t="b">
        <f ca="1">IFERROR(VLOOKUP(C27, $A$13:$J$23, 9, FALSE)="Today", FALSE)</f>
        <v>0</v>
      </c>
      <c r="AC27" s="42" t="b">
        <f ca="1">IFERROR(VLOOKUP(E27, $A$13:$J$23, 9, FALSE)="Today", FALSE)</f>
        <v>0</v>
      </c>
      <c r="AD27" s="42" t="b">
        <f ca="1">IFERROR(VLOOKUP(G27, $A$13:$J$23, 9, FALSE)="Today", FALSE)</f>
        <v>0</v>
      </c>
    </row>
    <row r="28" spans="1:30" x14ac:dyDescent="0.25">
      <c r="A28" s="58" t="str">
        <f ca="1">IF(COUNTIFS($A$13:$A$23, A27, $J$13:$J$23, "Today")&gt;0, "DONE", "NOT DONE")</f>
        <v>DONE</v>
      </c>
      <c r="B28" s="59"/>
      <c r="C28" s="58" t="str">
        <f ca="1">IF(COUNTIFS($A$13:$A$23, C27, $J$13:$J$23, "Today")&gt;0, "DONE", "NOT DONE")</f>
        <v>DONE</v>
      </c>
      <c r="D28" s="59"/>
      <c r="E28" s="60" t="str">
        <f ca="1">IF(COUNTIFS($A$13:$A$23, E27, $J$13:$J$23, "Today")&gt;0, "DONE", "NOT DONE")</f>
        <v>NOT DONE</v>
      </c>
      <c r="F28" s="61"/>
      <c r="G28" s="60" t="str">
        <f ca="1">IF(COUNTIFS($A$13:$A$23, G27, $J$13:$J$23, "Today")&gt;0, "DONE", "NOT DONE")</f>
        <v>NOT DONE</v>
      </c>
      <c r="H28" s="61"/>
    </row>
    <row r="99" spans="1:7" ht="38.25" customHeight="1" x14ac:dyDescent="0.25"/>
    <row r="100" spans="1:7" ht="39.75" customHeight="1" x14ac:dyDescent="0.25">
      <c r="A100" t="str">
        <f ca="1">IFERROR(INDEX($J$6:$J$15, MATCH(A27, $A$6:$A$15, 0)), "-")</f>
        <v>Today</v>
      </c>
      <c r="C100" t="str">
        <f ca="1">IFERROR(INDEX($J$6:$J$15, MATCH(C27, $A$6:$A$15, 0)), "-")</f>
        <v>-</v>
      </c>
      <c r="E100" t="str">
        <f ca="1">IFERROR(INDEX($J$6:$J$15, MATCH(E27, $A$6:$A$15, 0)), "-")</f>
        <v>-</v>
      </c>
      <c r="G100" t="str">
        <f ca="1">IFERROR(INDEX($J$6:$J$15, MATCH(G27, $A$6:$A$15, 0)), "-")</f>
        <v>-</v>
      </c>
    </row>
  </sheetData>
  <mergeCells count="17">
    <mergeCell ref="A12:H12"/>
    <mergeCell ref="A1:L1"/>
    <mergeCell ref="A3:F3"/>
    <mergeCell ref="G6:H6"/>
    <mergeCell ref="C9:D9"/>
    <mergeCell ref="A9:B9"/>
    <mergeCell ref="A6:B6"/>
    <mergeCell ref="E6:F6"/>
    <mergeCell ref="C6:D6"/>
    <mergeCell ref="G26:H26"/>
    <mergeCell ref="G27:H27"/>
    <mergeCell ref="A26:B26"/>
    <mergeCell ref="A27:B27"/>
    <mergeCell ref="C26:D26"/>
    <mergeCell ref="C27:D27"/>
    <mergeCell ref="E26:F26"/>
    <mergeCell ref="E27:F27"/>
  </mergeCells>
  <conditionalFormatting sqref="A27">
    <cfRule type="cellIs" dxfId="127" priority="72" stopIfTrue="1" operator="equal">
      <formula>"""DONE"""</formula>
    </cfRule>
  </conditionalFormatting>
  <conditionalFormatting sqref="A27:H28">
    <cfRule type="expression" dxfId="126" priority="75" stopIfTrue="1">
      <formula>A100="-"</formula>
    </cfRule>
    <cfRule type="expression" dxfId="125" priority="73" stopIfTrue="1">
      <formula>A100="Today"</formula>
    </cfRule>
    <cfRule type="expression" dxfId="124" priority="74" stopIfTrue="1">
      <formula>AND(A100&lt;&gt;"Today", A100&lt;&gt;"-")</formula>
    </cfRule>
  </conditionalFormatting>
  <conditionalFormatting sqref="F14:F23">
    <cfRule type="cellIs" dxfId="123" priority="1" operator="greaterThan">
      <formula>0</formula>
    </cfRule>
  </conditionalFormatting>
  <conditionalFormatting sqref="G14:G23">
    <cfRule type="cellIs" dxfId="122" priority="2" operator="greaterThan">
      <formula>0</formula>
    </cfRule>
  </conditionalFormatting>
  <conditionalFormatting sqref="H14:I23">
    <cfRule type="cellIs" dxfId="121" priority="3" operator="greaterThan">
      <formula>0</formula>
    </cfRule>
  </conditionalFormatting>
  <conditionalFormatting sqref="J14:J23">
    <cfRule type="cellIs" dxfId="120" priority="8" stopIfTrue="1" operator="equal">
      <formula>"5 days ago"</formula>
    </cfRule>
    <cfRule type="cellIs" dxfId="119" priority="9" stopIfTrue="1" operator="equal">
      <formula>"6 days ago"</formula>
    </cfRule>
    <cfRule type="cellIs" dxfId="118" priority="10" stopIfTrue="1" operator="equal">
      <formula>"7 days ago"</formula>
    </cfRule>
    <cfRule type="cellIs" dxfId="117" priority="11" stopIfTrue="1" operator="equal">
      <formula>"8 days ago"</formula>
    </cfRule>
    <cfRule type="cellIs" dxfId="116" priority="12" stopIfTrue="1" operator="equal">
      <formula>"9 days ago"</formula>
    </cfRule>
    <cfRule type="cellIs" dxfId="115" priority="13" stopIfTrue="1" operator="equal">
      <formula>"10 days ago"</formula>
    </cfRule>
    <cfRule type="cellIs" dxfId="114" priority="14" stopIfTrue="1" operator="equal">
      <formula>"11 days ago"</formula>
    </cfRule>
    <cfRule type="cellIs" dxfId="113" priority="15" stopIfTrue="1" operator="equal">
      <formula>"12 days ago"</formula>
    </cfRule>
    <cfRule type="cellIs" dxfId="112" priority="16" stopIfTrue="1" operator="equal">
      <formula>"13 days ago"</formula>
    </cfRule>
    <cfRule type="cellIs" dxfId="111" priority="17" stopIfTrue="1" operator="equal">
      <formula>"14 days ago"</formula>
    </cfRule>
    <cfRule type="cellIs" dxfId="110" priority="18" stopIfTrue="1" operator="equal">
      <formula>"15 days ago"</formula>
    </cfRule>
    <cfRule type="cellIs" dxfId="109" priority="19" stopIfTrue="1" operator="equal">
      <formula>"16 days ago"</formula>
    </cfRule>
    <cfRule type="cellIs" dxfId="108" priority="20" stopIfTrue="1" operator="equal">
      <formula>"17 days ago"</formula>
    </cfRule>
    <cfRule type="cellIs" dxfId="107" priority="21" stopIfTrue="1" operator="equal">
      <formula>"18 days ago"</formula>
    </cfRule>
    <cfRule type="cellIs" dxfId="106" priority="22" stopIfTrue="1" operator="equal">
      <formula>"19 days ago"</formula>
    </cfRule>
    <cfRule type="cellIs" dxfId="105" priority="23" stopIfTrue="1" operator="equal">
      <formula>"20 days ago"</formula>
    </cfRule>
    <cfRule type="cellIs" dxfId="104" priority="24" stopIfTrue="1" operator="equal">
      <formula>"21 days ago"</formula>
    </cfRule>
    <cfRule type="cellIs" dxfId="103" priority="25" stopIfTrue="1" operator="equal">
      <formula>"22 days ago"</formula>
    </cfRule>
    <cfRule type="cellIs" dxfId="102" priority="26" stopIfTrue="1" operator="equal">
      <formula>"23 days ago"</formula>
    </cfRule>
    <cfRule type="cellIs" dxfId="101" priority="27" stopIfTrue="1" operator="equal">
      <formula>"24 days ago"</formula>
    </cfRule>
    <cfRule type="cellIs" dxfId="100" priority="28" stopIfTrue="1" operator="equal">
      <formula>"25 days ago"</formula>
    </cfRule>
    <cfRule type="cellIs" dxfId="99" priority="29" stopIfTrue="1" operator="equal">
      <formula>"26 days ago"</formula>
    </cfRule>
    <cfRule type="cellIs" dxfId="98" priority="30" stopIfTrue="1" operator="equal">
      <formula>"27 days ago"</formula>
    </cfRule>
    <cfRule type="cellIs" dxfId="97" priority="31" stopIfTrue="1" operator="equal">
      <formula>"28 days ago"</formula>
    </cfRule>
    <cfRule type="cellIs" dxfId="96" priority="32" stopIfTrue="1" operator="equal">
      <formula>"29 days ago"</formula>
    </cfRule>
    <cfRule type="cellIs" dxfId="95" priority="33" stopIfTrue="1" operator="equal">
      <formula>"30 days ago"</formula>
    </cfRule>
    <cfRule type="cellIs" dxfId="94" priority="34" stopIfTrue="1" operator="equal">
      <formula>"31 days ago"</formula>
    </cfRule>
    <cfRule type="cellIs" dxfId="93" priority="35" stopIfTrue="1" operator="equal">
      <formula>"32 days ago"</formula>
    </cfRule>
    <cfRule type="cellIs" dxfId="92" priority="36" stopIfTrue="1" operator="equal">
      <formula>"33 days ago"</formula>
    </cfRule>
    <cfRule type="cellIs" dxfId="91" priority="37" stopIfTrue="1" operator="equal">
      <formula>"34 days ago"</formula>
    </cfRule>
    <cfRule type="cellIs" dxfId="90" priority="38" stopIfTrue="1" operator="equal">
      <formula>"35 days ago"</formula>
    </cfRule>
    <cfRule type="cellIs" dxfId="89" priority="39" stopIfTrue="1" operator="equal">
      <formula>"36 days ago"</formula>
    </cfRule>
    <cfRule type="cellIs" dxfId="88" priority="40" stopIfTrue="1" operator="equal">
      <formula>"37 days ago"</formula>
    </cfRule>
    <cfRule type="cellIs" dxfId="87" priority="41" stopIfTrue="1" operator="equal">
      <formula>"38 days ago"</formula>
    </cfRule>
    <cfRule type="cellIs" dxfId="86" priority="42" stopIfTrue="1" operator="equal">
      <formula>"39 days ago"</formula>
    </cfRule>
    <cfRule type="cellIs" dxfId="85" priority="43" stopIfTrue="1" operator="equal">
      <formula>"40 days ago"</formula>
    </cfRule>
    <cfRule type="cellIs" dxfId="84" priority="44" stopIfTrue="1" operator="equal">
      <formula>"41 days ago"</formula>
    </cfRule>
    <cfRule type="cellIs" dxfId="83" priority="45" stopIfTrue="1" operator="equal">
      <formula>"42 days ago"</formula>
    </cfRule>
    <cfRule type="cellIs" dxfId="82" priority="46" stopIfTrue="1" operator="equal">
      <formula>"43 days ago"</formula>
    </cfRule>
    <cfRule type="cellIs" dxfId="81" priority="47" stopIfTrue="1" operator="equal">
      <formula>"44 days ago"</formula>
    </cfRule>
    <cfRule type="cellIs" dxfId="80" priority="48" stopIfTrue="1" operator="equal">
      <formula>"45 days ago"</formula>
    </cfRule>
    <cfRule type="cellIs" dxfId="79" priority="49" stopIfTrue="1" operator="equal">
      <formula>"46 days ago"</formula>
    </cfRule>
    <cfRule type="cellIs" dxfId="78" priority="50" stopIfTrue="1" operator="equal">
      <formula>"47 days ago"</formula>
    </cfRule>
    <cfRule type="cellIs" dxfId="77" priority="51" stopIfTrue="1" operator="equal">
      <formula>"48 days ago"</formula>
    </cfRule>
    <cfRule type="cellIs" dxfId="76" priority="52" stopIfTrue="1" operator="equal">
      <formula>"49 days ago"</formula>
    </cfRule>
    <cfRule type="cellIs" dxfId="75" priority="53" stopIfTrue="1" operator="equal">
      <formula>"50 days ago"</formula>
    </cfRule>
    <cfRule type="cellIs" dxfId="74" priority="54" stopIfTrue="1" operator="equal">
      <formula>"51 days ago"</formula>
    </cfRule>
    <cfRule type="cellIs" dxfId="73" priority="55" stopIfTrue="1" operator="equal">
      <formula>"52 days ago"</formula>
    </cfRule>
    <cfRule type="cellIs" dxfId="72" priority="56" stopIfTrue="1" operator="equal">
      <formula>"53 days ago"</formula>
    </cfRule>
    <cfRule type="cellIs" dxfId="71" priority="57" stopIfTrue="1" operator="equal">
      <formula>"54 days ago"</formula>
    </cfRule>
    <cfRule type="cellIs" dxfId="70" priority="58" stopIfTrue="1" operator="equal">
      <formula>"55 days ago"</formula>
    </cfRule>
    <cfRule type="cellIs" dxfId="69" priority="4" stopIfTrue="1" operator="equal">
      <formula>"Today"</formula>
    </cfRule>
    <cfRule type="cellIs" dxfId="68" priority="60" stopIfTrue="1" operator="equal">
      <formula>"57 days ago"</formula>
    </cfRule>
    <cfRule type="cellIs" dxfId="67" priority="61" stopIfTrue="1" operator="equal">
      <formula>"58 days ago"</formula>
    </cfRule>
    <cfRule type="cellIs" dxfId="66" priority="62" stopIfTrue="1" operator="equal">
      <formula>"59 days ago"</formula>
    </cfRule>
    <cfRule type="cellIs" dxfId="65" priority="63" stopIfTrue="1" operator="equal">
      <formula>"2 days ago"</formula>
    </cfRule>
    <cfRule type="cellIs" dxfId="64" priority="64" stopIfTrue="1" operator="equal">
      <formula>"3 days ago"</formula>
    </cfRule>
    <cfRule type="cellIs" dxfId="63" priority="5" stopIfTrue="1" operator="equal">
      <formula>"Yesterday"</formula>
    </cfRule>
    <cfRule type="cellIs" dxfId="62" priority="6" stopIfTrue="1" operator="equal">
      <formula>"-"</formula>
    </cfRule>
    <cfRule type="cellIs" dxfId="61" priority="7" stopIfTrue="1" operator="equal">
      <formula>"4 days ago"</formula>
    </cfRule>
    <cfRule type="cellIs" dxfId="60" priority="59" stopIfTrue="1" operator="equal">
      <formula>"56 days ago"</formula>
    </cfRule>
  </conditionalFormatting>
  <hyperlinks>
    <hyperlink ref="A14" location="'Biology'!A4" display="Biology" xr:uid="{0349109F-4BAF-4BDF-8B1C-9AE599A8D6EC}"/>
    <hyperlink ref="A15" location="'Chemistry'!A4" display="Chemistry" xr:uid="{E53CEB35-8360-4491-9D51-BE05A96C3677}"/>
    <hyperlink ref="A16" location="'Physics'!A4" display="Physics" xr:uid="{1148B904-6BC4-4105-ACB3-C1CF3AF4E04E}"/>
    <hyperlink ref="A17" location="'Mathematics'!A4" display="Mathematics" xr:uid="{C56B0711-69FE-4938-BC73-EF018A9EAC8C}"/>
    <hyperlink ref="A18" location="'English Language'!A4" display="English Language" xr:uid="{2A21F88B-EF79-4279-89B5-16E8E6BB56D1}"/>
    <hyperlink ref="A19" location="'English Literature'!A4" display="English Literature" xr:uid="{50679304-CA87-4BA0-BE1F-435A2838AFD9}"/>
    <hyperlink ref="A20" location="'Geography'!A4" display="Geography" xr:uid="{088F192C-DCF6-4271-A48F-E7F855795932}"/>
    <hyperlink ref="A21" location="'History'!A4" display="History" xr:uid="{4E898780-31B2-443F-8402-72ED2C3DFD09}"/>
    <hyperlink ref="A22" location="'Spanish'!A4" display="Spanish" xr:uid="{AD1DD75D-86CF-4DA9-B801-23C39D7A095A}"/>
    <hyperlink ref="A23" location="'Computer Science'!A4" display="Computer Science" xr:uid="{3C3204D2-FCC7-4B44-8E31-E949073AD937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7"/>
  <sheetViews>
    <sheetView showGridLines="0" zoomScaleNormal="100" workbookViewId="0">
      <pane ySplit="3" topLeftCell="A7" activePane="bottomLeft" state="frozen"/>
      <selection pane="bottomLeft" activeCell="K8" sqref="K8"/>
    </sheetView>
  </sheetViews>
  <sheetFormatPr defaultRowHeight="15" x14ac:dyDescent="0.25"/>
  <cols>
    <col min="1" max="1" width="30.85546875" customWidth="1"/>
    <col min="2" max="2" width="14" customWidth="1"/>
    <col min="3" max="3" width="19" customWidth="1"/>
    <col min="4" max="4" width="19.28515625" style="18" customWidth="1"/>
    <col min="5" max="5" width="38" customWidth="1"/>
    <col min="6" max="6" width="55.7109375" customWidth="1"/>
  </cols>
  <sheetData>
    <row r="1" spans="1:6" ht="32.1" customHeight="1" x14ac:dyDescent="0.25">
      <c r="A1" s="75" t="s">
        <v>41</v>
      </c>
      <c r="B1" s="66"/>
      <c r="C1" s="66"/>
      <c r="D1" s="66"/>
      <c r="E1" s="66"/>
    </row>
    <row r="2" spans="1:6" ht="18" customHeight="1" x14ac:dyDescent="0.25">
      <c r="A2" s="28" t="s">
        <v>42</v>
      </c>
      <c r="B2" s="1"/>
      <c r="C2" s="1"/>
      <c r="D2" s="16"/>
      <c r="E2" s="1"/>
    </row>
    <row r="3" spans="1:6" ht="26.1" customHeight="1" x14ac:dyDescent="0.25">
      <c r="A3" s="7" t="s">
        <v>43</v>
      </c>
      <c r="B3" s="7" t="s">
        <v>44</v>
      </c>
      <c r="C3" s="7" t="s">
        <v>45</v>
      </c>
      <c r="D3" s="17" t="s">
        <v>39</v>
      </c>
      <c r="E3" s="7" t="s">
        <v>46</v>
      </c>
      <c r="F3" s="32" t="s">
        <v>47</v>
      </c>
    </row>
    <row r="4" spans="1:6" ht="99.75" customHeight="1" x14ac:dyDescent="0.25">
      <c r="A4" s="8" t="s">
        <v>48</v>
      </c>
      <c r="B4" s="9" t="s">
        <v>31</v>
      </c>
      <c r="C4" s="9" t="s">
        <v>37</v>
      </c>
      <c r="D4" s="10">
        <v>46313</v>
      </c>
      <c r="E4" s="33" t="s">
        <v>49</v>
      </c>
      <c r="F4" s="35" t="s">
        <v>50</v>
      </c>
    </row>
    <row r="5" spans="1:6" ht="71.25" customHeight="1" x14ac:dyDescent="0.25">
      <c r="A5" s="31" t="s">
        <v>51</v>
      </c>
      <c r="B5" s="9" t="s">
        <v>31</v>
      </c>
      <c r="C5" s="9" t="s">
        <v>37</v>
      </c>
      <c r="D5" s="10">
        <v>46316</v>
      </c>
      <c r="E5" s="33" t="s">
        <v>52</v>
      </c>
      <c r="F5" s="35"/>
    </row>
    <row r="6" spans="1:6" ht="99" customHeight="1" x14ac:dyDescent="0.25">
      <c r="A6" s="31" t="s">
        <v>53</v>
      </c>
      <c r="B6" s="9" t="s">
        <v>31</v>
      </c>
      <c r="C6" s="9" t="s">
        <v>37</v>
      </c>
      <c r="D6" s="10">
        <v>46317</v>
      </c>
      <c r="E6" s="33" t="s">
        <v>54</v>
      </c>
      <c r="F6" s="35"/>
    </row>
    <row r="7" spans="1:6" ht="106.5" customHeight="1" x14ac:dyDescent="0.25">
      <c r="A7" s="31" t="s">
        <v>55</v>
      </c>
      <c r="B7" s="9" t="s">
        <v>31</v>
      </c>
      <c r="C7" s="9" t="s">
        <v>37</v>
      </c>
      <c r="D7" s="10">
        <v>46319</v>
      </c>
      <c r="E7" s="33" t="s">
        <v>56</v>
      </c>
      <c r="F7" s="35"/>
    </row>
    <row r="8" spans="1:6" ht="108" customHeight="1" x14ac:dyDescent="0.25">
      <c r="A8" s="8" t="s">
        <v>57</v>
      </c>
      <c r="B8" s="9"/>
      <c r="C8" s="9"/>
      <c r="D8" s="10"/>
      <c r="E8" s="33"/>
      <c r="F8" s="35"/>
    </row>
    <row r="9" spans="1:6" ht="66" customHeight="1" x14ac:dyDescent="0.25">
      <c r="A9" s="8" t="s">
        <v>58</v>
      </c>
      <c r="B9" s="9"/>
      <c r="C9" s="9"/>
      <c r="D9" s="10"/>
      <c r="E9" s="33"/>
      <c r="F9" s="35"/>
    </row>
    <row r="10" spans="1:6" ht="75" customHeight="1" x14ac:dyDescent="0.25">
      <c r="A10" s="8" t="s">
        <v>59</v>
      </c>
      <c r="B10" s="9" t="s">
        <v>31</v>
      </c>
      <c r="C10" s="9" t="s">
        <v>37</v>
      </c>
      <c r="D10" s="10">
        <v>46319</v>
      </c>
      <c r="E10" s="33" t="s">
        <v>60</v>
      </c>
      <c r="F10" s="35"/>
    </row>
    <row r="11" spans="1:6" ht="99" customHeight="1" x14ac:dyDescent="0.25">
      <c r="A11" s="8" t="s">
        <v>61</v>
      </c>
      <c r="B11" s="9"/>
      <c r="C11" s="9"/>
      <c r="D11" s="10"/>
      <c r="E11" s="33"/>
      <c r="F11" s="35"/>
    </row>
    <row r="12" spans="1:6" ht="45.75" customHeight="1" x14ac:dyDescent="0.25">
      <c r="A12" s="8"/>
      <c r="B12" s="9"/>
      <c r="C12" s="9"/>
      <c r="D12" s="10"/>
      <c r="E12" s="33"/>
      <c r="F12" s="35"/>
    </row>
    <row r="13" spans="1:6" ht="24" customHeight="1" x14ac:dyDescent="0.25">
      <c r="A13" s="8"/>
      <c r="B13" s="9"/>
      <c r="C13" s="9"/>
      <c r="D13" s="10"/>
      <c r="E13" s="33"/>
      <c r="F13" s="35"/>
    </row>
    <row r="14" spans="1:6" ht="24" customHeight="1" x14ac:dyDescent="0.25">
      <c r="A14" s="8"/>
      <c r="B14" s="9"/>
      <c r="C14" s="9"/>
      <c r="D14" s="10"/>
      <c r="E14" s="33"/>
      <c r="F14" s="35"/>
    </row>
    <row r="15" spans="1:6" ht="24" customHeight="1" x14ac:dyDescent="0.25">
      <c r="A15" s="8"/>
      <c r="B15" s="9"/>
      <c r="C15" s="9"/>
      <c r="D15" s="10"/>
      <c r="E15" s="33"/>
      <c r="F15" s="35"/>
    </row>
    <row r="16" spans="1:6" ht="24" customHeight="1" x14ac:dyDescent="0.25">
      <c r="A16" s="8"/>
      <c r="B16" s="9"/>
      <c r="C16" s="9"/>
      <c r="D16" s="10"/>
      <c r="E16" s="33"/>
      <c r="F16" s="35"/>
    </row>
    <row r="17" spans="1:6" ht="24" customHeight="1" x14ac:dyDescent="0.25">
      <c r="A17" s="8"/>
      <c r="B17" s="9"/>
      <c r="C17" s="9"/>
      <c r="D17" s="10"/>
      <c r="E17" s="33"/>
      <c r="F17" s="35"/>
    </row>
    <row r="18" spans="1:6" ht="24" customHeight="1" x14ac:dyDescent="0.25">
      <c r="A18" s="8"/>
      <c r="B18" s="9"/>
      <c r="C18" s="9"/>
      <c r="D18" s="10"/>
      <c r="E18" s="33"/>
      <c r="F18" s="34"/>
    </row>
    <row r="19" spans="1:6" ht="24" customHeight="1" x14ac:dyDescent="0.25">
      <c r="A19" s="2"/>
      <c r="B19" s="3"/>
      <c r="C19" s="3"/>
      <c r="D19" s="4"/>
      <c r="E19" s="2"/>
      <c r="F19" s="1"/>
    </row>
    <row r="20" spans="1:6" ht="24" customHeight="1" x14ac:dyDescent="0.25">
      <c r="A20" s="2"/>
      <c r="B20" s="3"/>
      <c r="C20" s="3"/>
      <c r="D20" s="4"/>
      <c r="E20" s="2"/>
      <c r="F20" s="1"/>
    </row>
    <row r="21" spans="1:6" ht="24" customHeight="1" x14ac:dyDescent="0.25">
      <c r="A21" s="2"/>
      <c r="B21" s="3"/>
      <c r="C21" s="3"/>
      <c r="D21" s="4"/>
      <c r="E21" s="2"/>
      <c r="F21" s="1"/>
    </row>
    <row r="22" spans="1:6" ht="24" customHeight="1" x14ac:dyDescent="0.25">
      <c r="A22" s="2"/>
      <c r="B22" s="3"/>
      <c r="C22" s="3"/>
      <c r="D22" s="4"/>
      <c r="E22" s="2"/>
      <c r="F22" s="1"/>
    </row>
    <row r="23" spans="1:6" ht="24" customHeight="1" x14ac:dyDescent="0.25">
      <c r="A23" s="2"/>
      <c r="B23" s="3"/>
      <c r="C23" s="3"/>
      <c r="D23" s="4"/>
      <c r="E23" s="2"/>
      <c r="F23" s="1"/>
    </row>
    <row r="24" spans="1:6" ht="24" customHeight="1" x14ac:dyDescent="0.25">
      <c r="A24" s="2"/>
      <c r="B24" s="3"/>
      <c r="C24" s="3"/>
      <c r="D24" s="4"/>
      <c r="E24" s="2"/>
      <c r="F24" s="1"/>
    </row>
    <row r="25" spans="1:6" ht="24" customHeight="1" x14ac:dyDescent="0.25">
      <c r="A25" s="2"/>
      <c r="B25" s="3"/>
      <c r="C25" s="3"/>
      <c r="D25" s="4"/>
      <c r="E25" s="2"/>
      <c r="F25" s="1"/>
    </row>
    <row r="26" spans="1:6" ht="24" customHeight="1" x14ac:dyDescent="0.25">
      <c r="A26" s="2"/>
      <c r="B26" s="3"/>
      <c r="C26" s="3"/>
      <c r="D26" s="4"/>
      <c r="E26" s="2"/>
      <c r="F26" s="1"/>
    </row>
    <row r="27" spans="1:6" ht="24" customHeight="1" x14ac:dyDescent="0.25">
      <c r="A27" s="2"/>
      <c r="B27" s="3"/>
      <c r="C27" s="3"/>
      <c r="D27" s="4"/>
      <c r="E27" s="2"/>
      <c r="F27" s="1"/>
    </row>
  </sheetData>
  <mergeCells count="1">
    <mergeCell ref="A1:E1"/>
  </mergeCells>
  <conditionalFormatting sqref="B4:B18">
    <cfRule type="cellIs" dxfId="59" priority="5" operator="equal">
      <formula>"Not Started"</formula>
    </cfRule>
    <cfRule type="cellIs" dxfId="58" priority="6" operator="equal">
      <formula>"In Progress"</formula>
    </cfRule>
    <cfRule type="cellIs" dxfId="57" priority="7" operator="equal">
      <formula>"Completed"</formula>
    </cfRule>
  </conditionalFormatting>
  <conditionalFormatting sqref="C4:C18">
    <cfRule type="cellIs" dxfId="56" priority="1" operator="equal">
      <formula>"Green"</formula>
    </cfRule>
    <cfRule type="cellIs" dxfId="55" priority="2" operator="equal">
      <formula>"Amber"</formula>
    </cfRule>
    <cfRule type="cellIs" dxfId="54" priority="3" operator="equal">
      <formula>"Red"</formula>
    </cfRule>
  </conditionalFormatting>
  <dataValidations count="3">
    <dataValidation type="list" allowBlank="1" sqref="B4:B18" xr:uid="{00000000-0002-0000-0100-000000000000}">
      <formula1>"Not Started,In Progress,Completed"</formula1>
    </dataValidation>
    <dataValidation type="list" allowBlank="1" sqref="E4:E18" xr:uid="{00000000-0002-0000-0100-000002000000}">
      <formula1>"Quick active recall,Test key definitions,Practise examination questions,Review knowledge gaps,Practise calculations,Recall a case study,Test vocabulary,Practise a 16-mark question,Practise equations,Translate sentences"</formula1>
    </dataValidation>
    <dataValidation type="list" allowBlank="1" showInputMessage="1" showErrorMessage="1" sqref="C4:C1000" xr:uid="{52DDAFB8-BF9B-4F5D-A8ED-9DC855F98BAD}">
      <formula1>"Green,Amber,Red"</formula1>
    </dataValidation>
  </dataValidations>
  <hyperlinks>
    <hyperlink ref="A2" location="'Dashboard'!A1" display="&lt; Return to Dashboard" xr:uid="{8A03291B-F8D4-418A-93F5-59B218A2B237}"/>
  </hyperlinks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8"/>
  <sheetViews>
    <sheetView showGridLines="0" workbookViewId="0">
      <pane ySplit="3" topLeftCell="A4" activePane="bottomLeft" state="frozen"/>
      <selection pane="bottomLeft" activeCell="L6" sqref="L6"/>
    </sheetView>
  </sheetViews>
  <sheetFormatPr defaultRowHeight="15" x14ac:dyDescent="0.25"/>
  <cols>
    <col min="1" max="1" width="36" customWidth="1"/>
    <col min="2" max="3" width="14" customWidth="1"/>
    <col min="4" max="4" width="15" style="18" customWidth="1"/>
    <col min="5" max="5" width="38" customWidth="1"/>
    <col min="6" max="6" width="55.7109375" customWidth="1"/>
  </cols>
  <sheetData>
    <row r="1" spans="1:6" ht="32.1" customHeight="1" x14ac:dyDescent="0.25">
      <c r="A1" s="76" t="s">
        <v>62</v>
      </c>
      <c r="B1" s="66"/>
      <c r="C1" s="66"/>
      <c r="D1" s="66"/>
      <c r="E1" s="66"/>
    </row>
    <row r="2" spans="1:6" ht="18" customHeight="1" x14ac:dyDescent="0.25">
      <c r="A2" s="29" t="s">
        <v>42</v>
      </c>
    </row>
    <row r="3" spans="1:6" ht="26.1" customHeight="1" x14ac:dyDescent="0.25">
      <c r="A3" s="6" t="s">
        <v>43</v>
      </c>
      <c r="B3" s="6" t="s">
        <v>44</v>
      </c>
      <c r="C3" s="6" t="s">
        <v>45</v>
      </c>
      <c r="D3" s="19" t="s">
        <v>39</v>
      </c>
      <c r="E3" s="6" t="s">
        <v>46</v>
      </c>
      <c r="F3" s="6" t="s">
        <v>47</v>
      </c>
    </row>
    <row r="4" spans="1:6" ht="42.75" customHeight="1" x14ac:dyDescent="0.25">
      <c r="A4" s="55" t="s">
        <v>63</v>
      </c>
      <c r="B4" s="3" t="s">
        <v>31</v>
      </c>
      <c r="C4" s="3" t="s">
        <v>37</v>
      </c>
      <c r="D4" s="4">
        <v>46315</v>
      </c>
      <c r="E4" s="37" t="s">
        <v>64</v>
      </c>
      <c r="F4" s="35" t="s">
        <v>65</v>
      </c>
    </row>
    <row r="5" spans="1:6" ht="84.75" customHeight="1" x14ac:dyDescent="0.25">
      <c r="A5" s="31" t="s">
        <v>66</v>
      </c>
      <c r="B5" s="3" t="s">
        <v>31</v>
      </c>
      <c r="C5" s="3" t="s">
        <v>37</v>
      </c>
      <c r="D5" s="4">
        <v>46318</v>
      </c>
      <c r="E5" s="33" t="s">
        <v>67</v>
      </c>
      <c r="F5" s="35"/>
    </row>
    <row r="6" spans="1:6" ht="35.25" customHeight="1" x14ac:dyDescent="0.25">
      <c r="A6" s="31" t="s">
        <v>68</v>
      </c>
      <c r="B6" s="3" t="s">
        <v>31</v>
      </c>
      <c r="C6" s="3" t="s">
        <v>37</v>
      </c>
      <c r="D6" s="4">
        <v>46318</v>
      </c>
      <c r="E6" s="37" t="s">
        <v>69</v>
      </c>
      <c r="F6" s="35"/>
    </row>
    <row r="7" spans="1:6" ht="60" customHeight="1" x14ac:dyDescent="0.25">
      <c r="A7" s="31" t="s">
        <v>70</v>
      </c>
      <c r="B7" s="3"/>
      <c r="C7" s="3"/>
      <c r="D7" s="4"/>
      <c r="E7" s="37"/>
      <c r="F7" s="35"/>
    </row>
    <row r="8" spans="1:6" ht="65.25" customHeight="1" x14ac:dyDescent="0.25">
      <c r="A8" s="31" t="s">
        <v>71</v>
      </c>
      <c r="B8" s="3"/>
      <c r="C8" s="3"/>
      <c r="D8" s="4"/>
      <c r="E8" s="37"/>
      <c r="F8" s="35"/>
    </row>
    <row r="9" spans="1:6" ht="33" customHeight="1" x14ac:dyDescent="0.25">
      <c r="A9" s="31" t="s">
        <v>72</v>
      </c>
      <c r="B9" s="3"/>
      <c r="C9" s="3"/>
      <c r="D9" s="4"/>
      <c r="E9" s="37"/>
      <c r="F9" s="35"/>
    </row>
    <row r="10" spans="1:6" ht="61.5" customHeight="1" x14ac:dyDescent="0.25">
      <c r="A10" s="56" t="s">
        <v>73</v>
      </c>
      <c r="B10" s="3"/>
      <c r="C10" s="3"/>
      <c r="D10" s="4"/>
      <c r="E10" s="37"/>
      <c r="F10" s="35"/>
    </row>
    <row r="11" spans="1:6" ht="30" customHeight="1" x14ac:dyDescent="0.25">
      <c r="A11" s="57" t="s">
        <v>74</v>
      </c>
      <c r="B11" s="3"/>
      <c r="C11" s="3"/>
      <c r="D11" s="4"/>
      <c r="E11" s="37"/>
      <c r="F11" s="35"/>
    </row>
    <row r="12" spans="1:6" ht="36.75" customHeight="1" x14ac:dyDescent="0.25">
      <c r="A12" s="2"/>
      <c r="B12" s="3"/>
      <c r="C12" s="3"/>
      <c r="D12" s="4"/>
      <c r="E12" s="37"/>
      <c r="F12" s="35"/>
    </row>
    <row r="13" spans="1:6" ht="24" customHeight="1" x14ac:dyDescent="0.25">
      <c r="A13" s="2"/>
      <c r="B13" s="3"/>
      <c r="C13" s="3"/>
      <c r="D13" s="4"/>
      <c r="E13" s="37"/>
      <c r="F13" s="35"/>
    </row>
    <row r="14" spans="1:6" ht="24" customHeight="1" x14ac:dyDescent="0.25">
      <c r="A14" s="2"/>
      <c r="B14" s="3"/>
      <c r="C14" s="3"/>
      <c r="D14" s="4"/>
      <c r="E14" s="37"/>
      <c r="F14" s="35"/>
    </row>
    <row r="15" spans="1:6" ht="24" customHeight="1" x14ac:dyDescent="0.25">
      <c r="A15" s="2"/>
      <c r="B15" s="3"/>
      <c r="C15" s="3"/>
      <c r="D15" s="4"/>
      <c r="E15" s="37"/>
      <c r="F15" s="35"/>
    </row>
    <row r="16" spans="1:6" ht="24" customHeight="1" x14ac:dyDescent="0.25">
      <c r="A16" s="2"/>
      <c r="B16" s="3"/>
      <c r="C16" s="3"/>
      <c r="D16" s="4"/>
      <c r="E16" s="37"/>
      <c r="F16" s="35"/>
    </row>
    <row r="17" spans="1:6" ht="24" customHeight="1" x14ac:dyDescent="0.25">
      <c r="A17" s="2"/>
      <c r="B17" s="3"/>
      <c r="C17" s="3"/>
      <c r="D17" s="4"/>
      <c r="E17" s="37"/>
      <c r="F17" s="35"/>
    </row>
    <row r="18" spans="1:6" ht="24" customHeight="1" x14ac:dyDescent="0.25">
      <c r="A18" s="2"/>
      <c r="B18" s="3"/>
      <c r="C18" s="3"/>
      <c r="D18" s="4"/>
      <c r="E18" s="37"/>
      <c r="F18" s="35"/>
    </row>
  </sheetData>
  <mergeCells count="1">
    <mergeCell ref="A1:E1"/>
  </mergeCells>
  <conditionalFormatting sqref="B4:B18">
    <cfRule type="cellIs" dxfId="53" priority="5" operator="equal">
      <formula>"Not Started"</formula>
    </cfRule>
    <cfRule type="cellIs" dxfId="52" priority="6" operator="equal">
      <formula>"In Progress"</formula>
    </cfRule>
    <cfRule type="cellIs" dxfId="51" priority="7" operator="equal">
      <formula>"Completed"</formula>
    </cfRule>
  </conditionalFormatting>
  <conditionalFormatting sqref="C4:C18">
    <cfRule type="cellIs" dxfId="50" priority="1" operator="equal">
      <formula>"Green"</formula>
    </cfRule>
    <cfRule type="cellIs" dxfId="49" priority="2" operator="equal">
      <formula>"Amber"</formula>
    </cfRule>
    <cfRule type="cellIs" dxfId="48" priority="3" operator="equal">
      <formula>"Red"</formula>
    </cfRule>
  </conditionalFormatting>
  <dataValidations count="3">
    <dataValidation type="list" allowBlank="1" sqref="B4:B18" xr:uid="{00000000-0002-0000-0200-000000000000}">
      <formula1>"Not Started,In Progress,Completed"</formula1>
    </dataValidation>
    <dataValidation type="list" allowBlank="1" sqref="E4:E18" xr:uid="{00000000-0002-0000-0200-000002000000}">
      <formula1>"Quick active recall,Test key definitions,Practise examination questions,Review knowledge gaps,Practise calculations,Recall a case study,Test vocabulary,Practise a 16-mark question,Practise equations,Translate sentences"</formula1>
    </dataValidation>
    <dataValidation type="list" allowBlank="1" showInputMessage="1" showErrorMessage="1" sqref="C4:C1000" xr:uid="{0E06F1AA-5F0C-45A1-A46C-CC888BD2EA15}">
      <formula1>"Green,Amber,Red"</formula1>
    </dataValidation>
  </dataValidations>
  <hyperlinks>
    <hyperlink ref="A2" location="'Dashboard'!A1" display="&lt; Return to Dashboard" xr:uid="{A1561012-92F3-4FD4-A7F0-0E0081A70D27}"/>
  </hyperlinks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8"/>
  <sheetViews>
    <sheetView showGridLines="0" workbookViewId="0">
      <pane ySplit="3" topLeftCell="A7" activePane="bottomLeft" state="frozen"/>
      <selection pane="bottomLeft" activeCell="K7" sqref="K7"/>
    </sheetView>
  </sheetViews>
  <sheetFormatPr defaultRowHeight="15" x14ac:dyDescent="0.25"/>
  <cols>
    <col min="1" max="1" width="36" customWidth="1"/>
    <col min="2" max="3" width="14" customWidth="1"/>
    <col min="4" max="4" width="21.140625" style="18" customWidth="1"/>
    <col min="5" max="5" width="38" customWidth="1"/>
    <col min="6" max="6" width="55.7109375" customWidth="1"/>
  </cols>
  <sheetData>
    <row r="1" spans="1:6" ht="32.1" customHeight="1" x14ac:dyDescent="0.25">
      <c r="A1" s="76" t="s">
        <v>75</v>
      </c>
      <c r="B1" s="66"/>
      <c r="C1" s="66"/>
      <c r="D1" s="66"/>
      <c r="E1" s="66"/>
    </row>
    <row r="2" spans="1:6" ht="18" customHeight="1" x14ac:dyDescent="0.25">
      <c r="A2" s="30" t="s">
        <v>42</v>
      </c>
    </row>
    <row r="3" spans="1:6" ht="26.1" customHeight="1" x14ac:dyDescent="0.25">
      <c r="A3" s="6" t="s">
        <v>43</v>
      </c>
      <c r="B3" s="6" t="s">
        <v>44</v>
      </c>
      <c r="C3" s="6" t="s">
        <v>45</v>
      </c>
      <c r="D3" s="19" t="s">
        <v>39</v>
      </c>
      <c r="E3" s="6" t="s">
        <v>46</v>
      </c>
      <c r="F3" s="36" t="s">
        <v>47</v>
      </c>
    </row>
    <row r="4" spans="1:6" ht="92.25" customHeight="1" x14ac:dyDescent="0.25">
      <c r="A4" s="31" t="s">
        <v>76</v>
      </c>
      <c r="B4" s="9" t="s">
        <v>31</v>
      </c>
      <c r="C4" s="9" t="s">
        <v>37</v>
      </c>
      <c r="D4" s="10">
        <v>46314</v>
      </c>
      <c r="E4" s="33" t="s">
        <v>77</v>
      </c>
      <c r="F4" s="35" t="s">
        <v>78</v>
      </c>
    </row>
    <row r="5" spans="1:6" ht="57" customHeight="1" x14ac:dyDescent="0.25">
      <c r="A5" s="31" t="s">
        <v>79</v>
      </c>
      <c r="B5" s="9" t="s">
        <v>31</v>
      </c>
      <c r="C5" s="9" t="s">
        <v>37</v>
      </c>
      <c r="D5" s="10">
        <v>46316</v>
      </c>
      <c r="E5" s="33" t="s">
        <v>80</v>
      </c>
      <c r="F5" s="35"/>
    </row>
    <row r="6" spans="1:6" ht="71.25" customHeight="1" x14ac:dyDescent="0.3">
      <c r="A6" s="54" t="s">
        <v>81</v>
      </c>
      <c r="B6" s="9" t="s">
        <v>31</v>
      </c>
      <c r="C6" s="9" t="s">
        <v>37</v>
      </c>
      <c r="D6" s="10">
        <v>46316</v>
      </c>
      <c r="E6" s="33" t="s">
        <v>80</v>
      </c>
      <c r="F6" s="35"/>
    </row>
    <row r="7" spans="1:6" ht="63" customHeight="1" x14ac:dyDescent="0.25">
      <c r="A7" s="55" t="s">
        <v>82</v>
      </c>
      <c r="B7" s="9"/>
      <c r="C7" s="9"/>
      <c r="D7" s="10"/>
      <c r="E7" s="33"/>
      <c r="F7" s="35"/>
    </row>
    <row r="8" spans="1:6" ht="89.25" customHeight="1" x14ac:dyDescent="0.25">
      <c r="A8" s="55" t="s">
        <v>83</v>
      </c>
      <c r="B8" s="9"/>
      <c r="C8" s="9"/>
      <c r="D8" s="10"/>
      <c r="E8" s="33"/>
      <c r="F8" s="35"/>
    </row>
    <row r="9" spans="1:6" ht="72.75" customHeight="1" x14ac:dyDescent="0.25">
      <c r="A9" s="55" t="s">
        <v>84</v>
      </c>
      <c r="B9" s="9"/>
      <c r="C9" s="9"/>
      <c r="D9" s="10"/>
      <c r="E9" s="33"/>
      <c r="F9" s="35"/>
    </row>
    <row r="10" spans="1:6" ht="94.5" customHeight="1" x14ac:dyDescent="0.25">
      <c r="A10" s="55" t="s">
        <v>85</v>
      </c>
      <c r="B10" s="9"/>
      <c r="C10" s="9"/>
      <c r="D10" s="10"/>
      <c r="E10" s="33"/>
      <c r="F10" s="35"/>
    </row>
    <row r="11" spans="1:6" ht="75.75" customHeight="1" x14ac:dyDescent="0.25">
      <c r="A11" s="55"/>
      <c r="B11" s="9"/>
      <c r="C11" s="9"/>
      <c r="D11" s="10"/>
      <c r="E11" s="33"/>
      <c r="F11" s="35"/>
    </row>
    <row r="12" spans="1:6" ht="38.25" customHeight="1" x14ac:dyDescent="0.25">
      <c r="A12" s="8"/>
      <c r="B12" s="9"/>
      <c r="C12" s="9"/>
      <c r="D12" s="10"/>
      <c r="E12" s="33"/>
      <c r="F12" s="35"/>
    </row>
    <row r="13" spans="1:6" ht="30.75" customHeight="1" x14ac:dyDescent="0.25">
      <c r="A13" s="8"/>
      <c r="B13" s="9"/>
      <c r="C13" s="9"/>
      <c r="D13" s="10"/>
      <c r="E13" s="33"/>
      <c r="F13" s="35"/>
    </row>
    <row r="14" spans="1:6" ht="33.75" customHeight="1" x14ac:dyDescent="0.25">
      <c r="A14" s="8"/>
      <c r="B14" s="9"/>
      <c r="C14" s="9"/>
      <c r="D14" s="10"/>
      <c r="E14" s="33"/>
      <c r="F14" s="35"/>
    </row>
    <row r="15" spans="1:6" ht="24" customHeight="1" x14ac:dyDescent="0.25">
      <c r="A15" s="8"/>
      <c r="B15" s="9"/>
      <c r="C15" s="9"/>
      <c r="D15" s="10"/>
      <c r="E15" s="33"/>
      <c r="F15" s="35"/>
    </row>
    <row r="16" spans="1:6" ht="24" customHeight="1" x14ac:dyDescent="0.25">
      <c r="A16" s="8"/>
      <c r="B16" s="9"/>
      <c r="C16" s="9"/>
      <c r="D16" s="10"/>
      <c r="E16" s="33"/>
      <c r="F16" s="35"/>
    </row>
    <row r="17" spans="1:6" ht="24" customHeight="1" x14ac:dyDescent="0.25">
      <c r="A17" s="8"/>
      <c r="B17" s="9"/>
      <c r="C17" s="9"/>
      <c r="D17" s="10"/>
      <c r="E17" s="33"/>
      <c r="F17" s="35"/>
    </row>
    <row r="18" spans="1:6" ht="24" customHeight="1" x14ac:dyDescent="0.25">
      <c r="A18" s="8"/>
      <c r="B18" s="9"/>
      <c r="C18" s="9"/>
      <c r="D18" s="10"/>
      <c r="E18" s="33"/>
      <c r="F18" s="34"/>
    </row>
  </sheetData>
  <mergeCells count="1">
    <mergeCell ref="A1:E1"/>
  </mergeCells>
  <conditionalFormatting sqref="B4:B18">
    <cfRule type="cellIs" dxfId="47" priority="5" operator="equal">
      <formula>"Not Started"</formula>
    </cfRule>
    <cfRule type="cellIs" dxfId="46" priority="6" operator="equal">
      <formula>"In Progress"</formula>
    </cfRule>
    <cfRule type="cellIs" dxfId="45" priority="7" operator="equal">
      <formula>"Completed"</formula>
    </cfRule>
  </conditionalFormatting>
  <conditionalFormatting sqref="C4:C18">
    <cfRule type="cellIs" dxfId="44" priority="1" operator="equal">
      <formula>"Green"</formula>
    </cfRule>
    <cfRule type="cellIs" dxfId="43" priority="2" operator="equal">
      <formula>"Amber"</formula>
    </cfRule>
    <cfRule type="cellIs" dxfId="42" priority="3" operator="equal">
      <formula>"Red"</formula>
    </cfRule>
  </conditionalFormatting>
  <dataValidations count="3">
    <dataValidation type="list" allowBlank="1" sqref="B4:B18" xr:uid="{00000000-0002-0000-0300-000000000000}">
      <formula1>"Not Started,In Progress,Completed"</formula1>
    </dataValidation>
    <dataValidation type="list" allowBlank="1" sqref="E4:E18" xr:uid="{00000000-0002-0000-0300-000002000000}">
      <formula1>"Quick active recall,Test key definitions,Practise examination questions,Review knowledge gaps,Practise calculations,Recall a case study,Test vocabulary,Practise a 16-mark question,Practise equations,Translate sentences"</formula1>
    </dataValidation>
    <dataValidation type="list" allowBlank="1" showInputMessage="1" showErrorMessage="1" sqref="C4:C1000" xr:uid="{D4180FD0-0835-4EF4-822A-BC58AA955CD9}">
      <formula1>"Green,Amber,Red"</formula1>
    </dataValidation>
  </dataValidations>
  <hyperlinks>
    <hyperlink ref="A2" location="'Dashboard'!A1" display="&lt; Return to Dashboard" xr:uid="{819B6490-FF39-422C-83F2-9F2DE21C0B40}"/>
  </hyperlinks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8"/>
  <sheetViews>
    <sheetView showGridLines="0" workbookViewId="0">
      <pane ySplit="3" topLeftCell="A4" activePane="bottomLeft" state="frozen"/>
      <selection pane="bottomLeft" activeCell="J4" sqref="J4"/>
    </sheetView>
  </sheetViews>
  <sheetFormatPr defaultRowHeight="15" x14ac:dyDescent="0.25"/>
  <cols>
    <col min="1" max="1" width="36" customWidth="1"/>
    <col min="2" max="2" width="18.5703125" customWidth="1"/>
    <col min="3" max="3" width="16" customWidth="1"/>
    <col min="4" max="4" width="20" style="18" customWidth="1"/>
    <col min="5" max="5" width="38" customWidth="1"/>
    <col min="6" max="6" width="73.140625" customWidth="1"/>
  </cols>
  <sheetData>
    <row r="1" spans="1:6" ht="32.1" customHeight="1" x14ac:dyDescent="0.25">
      <c r="A1" s="76" t="s">
        <v>86</v>
      </c>
      <c r="B1" s="66"/>
      <c r="C1" s="66"/>
      <c r="D1" s="66"/>
      <c r="E1" s="66"/>
    </row>
    <row r="2" spans="1:6" ht="18" customHeight="1" x14ac:dyDescent="0.25">
      <c r="A2" s="30" t="s">
        <v>42</v>
      </c>
    </row>
    <row r="3" spans="1:6" ht="26.1" customHeight="1" x14ac:dyDescent="0.25">
      <c r="A3" s="7" t="s">
        <v>43</v>
      </c>
      <c r="B3" s="7" t="s">
        <v>44</v>
      </c>
      <c r="C3" s="7" t="s">
        <v>45</v>
      </c>
      <c r="D3" s="17" t="s">
        <v>39</v>
      </c>
      <c r="E3" s="7" t="s">
        <v>46</v>
      </c>
      <c r="F3" s="32" t="s">
        <v>47</v>
      </c>
    </row>
    <row r="4" spans="1:6" ht="130.5" customHeight="1" x14ac:dyDescent="0.25">
      <c r="A4" s="8" t="s">
        <v>87</v>
      </c>
      <c r="B4" s="9" t="s">
        <v>30</v>
      </c>
      <c r="C4" s="9" t="s">
        <v>37</v>
      </c>
      <c r="D4" s="10">
        <v>46319</v>
      </c>
      <c r="E4" s="33" t="s">
        <v>88</v>
      </c>
      <c r="F4" s="35"/>
    </row>
    <row r="5" spans="1:6" ht="24" customHeight="1" x14ac:dyDescent="0.25">
      <c r="A5" s="8"/>
      <c r="B5" s="9"/>
      <c r="C5" s="9"/>
      <c r="D5" s="10"/>
      <c r="E5" s="33"/>
      <c r="F5" s="35"/>
    </row>
    <row r="6" spans="1:6" ht="24" customHeight="1" x14ac:dyDescent="0.25">
      <c r="A6" s="8"/>
      <c r="B6" s="9"/>
      <c r="C6" s="9"/>
      <c r="D6" s="10"/>
      <c r="E6" s="33"/>
      <c r="F6" s="35"/>
    </row>
    <row r="7" spans="1:6" ht="24" customHeight="1" x14ac:dyDescent="0.25">
      <c r="A7" s="8"/>
      <c r="B7" s="9"/>
      <c r="C7" s="9"/>
      <c r="D7" s="10"/>
      <c r="E7" s="33"/>
      <c r="F7" s="35"/>
    </row>
    <row r="8" spans="1:6" ht="24" customHeight="1" x14ac:dyDescent="0.25">
      <c r="A8" s="8"/>
      <c r="B8" s="9"/>
      <c r="C8" s="9"/>
      <c r="D8" s="10"/>
      <c r="E8" s="33"/>
      <c r="F8" s="35"/>
    </row>
    <row r="9" spans="1:6" ht="24" customHeight="1" x14ac:dyDescent="0.25">
      <c r="A9" s="8"/>
      <c r="B9" s="9"/>
      <c r="C9" s="9"/>
      <c r="D9" s="10"/>
      <c r="E9" s="33"/>
      <c r="F9" s="35"/>
    </row>
    <row r="10" spans="1:6" ht="24" customHeight="1" x14ac:dyDescent="0.25">
      <c r="A10" s="8"/>
      <c r="B10" s="9"/>
      <c r="C10" s="9"/>
      <c r="D10" s="10"/>
      <c r="E10" s="33"/>
      <c r="F10" s="35"/>
    </row>
    <row r="11" spans="1:6" ht="24" customHeight="1" x14ac:dyDescent="0.25">
      <c r="A11" s="8"/>
      <c r="B11" s="9"/>
      <c r="C11" s="9"/>
      <c r="D11" s="10"/>
      <c r="E11" s="33"/>
      <c r="F11" s="35"/>
    </row>
    <row r="12" spans="1:6" ht="24" customHeight="1" x14ac:dyDescent="0.25">
      <c r="A12" s="8"/>
      <c r="B12" s="9"/>
      <c r="C12" s="9"/>
      <c r="D12" s="10"/>
      <c r="E12" s="33"/>
      <c r="F12" s="35"/>
    </row>
    <row r="13" spans="1:6" ht="24" customHeight="1" x14ac:dyDescent="0.25">
      <c r="A13" s="8"/>
      <c r="B13" s="9"/>
      <c r="C13" s="9"/>
      <c r="D13" s="10"/>
      <c r="E13" s="33"/>
      <c r="F13" s="35"/>
    </row>
    <row r="14" spans="1:6" ht="24" customHeight="1" x14ac:dyDescent="0.25">
      <c r="A14" s="8"/>
      <c r="B14" s="9"/>
      <c r="C14" s="9"/>
      <c r="D14" s="10"/>
      <c r="E14" s="33"/>
      <c r="F14" s="35"/>
    </row>
    <row r="15" spans="1:6" ht="24" customHeight="1" x14ac:dyDescent="0.25">
      <c r="A15" s="8"/>
      <c r="B15" s="9"/>
      <c r="C15" s="9"/>
      <c r="D15" s="10"/>
      <c r="E15" s="33"/>
      <c r="F15" s="35"/>
    </row>
    <row r="16" spans="1:6" ht="24" customHeight="1" x14ac:dyDescent="0.25">
      <c r="A16" s="8"/>
      <c r="B16" s="9"/>
      <c r="C16" s="9"/>
      <c r="D16" s="10"/>
      <c r="E16" s="33"/>
      <c r="F16" s="35"/>
    </row>
    <row r="17" spans="1:6" ht="24" customHeight="1" x14ac:dyDescent="0.25">
      <c r="A17" s="8"/>
      <c r="B17" s="9"/>
      <c r="C17" s="9"/>
      <c r="D17" s="10"/>
      <c r="E17" s="33"/>
      <c r="F17" s="35"/>
    </row>
    <row r="18" spans="1:6" ht="24" customHeight="1" x14ac:dyDescent="0.25">
      <c r="A18" s="8"/>
      <c r="B18" s="9"/>
      <c r="C18" s="9"/>
      <c r="D18" s="10"/>
      <c r="E18" s="33"/>
      <c r="F18" s="34"/>
    </row>
  </sheetData>
  <mergeCells count="1">
    <mergeCell ref="A1:E1"/>
  </mergeCells>
  <conditionalFormatting sqref="B4:B18">
    <cfRule type="cellIs" dxfId="41" priority="5" operator="equal">
      <formula>"Not Started"</formula>
    </cfRule>
    <cfRule type="cellIs" dxfId="40" priority="6" operator="equal">
      <formula>"In Progress"</formula>
    </cfRule>
    <cfRule type="cellIs" dxfId="39" priority="7" operator="equal">
      <formula>"Completed"</formula>
    </cfRule>
  </conditionalFormatting>
  <conditionalFormatting sqref="C4:C18">
    <cfRule type="cellIs" dxfId="38" priority="1" operator="equal">
      <formula>"Green"</formula>
    </cfRule>
    <cfRule type="cellIs" dxfId="37" priority="2" operator="equal">
      <formula>"Amber"</formula>
    </cfRule>
    <cfRule type="cellIs" dxfId="36" priority="3" operator="equal">
      <formula>"Red"</formula>
    </cfRule>
  </conditionalFormatting>
  <dataValidations count="3">
    <dataValidation type="list" allowBlank="1" sqref="B4:B18" xr:uid="{00000000-0002-0000-0400-000000000000}">
      <formula1>"Not Started,In Progress,Completed"</formula1>
    </dataValidation>
    <dataValidation type="list" allowBlank="1" sqref="E4:E18" xr:uid="{00000000-0002-0000-0400-000002000000}">
      <formula1>"Quick active recall,Test key definitions,Practise examination questions,Review knowledge gaps,Practise calculations,Recall a case study,Test vocabulary,Practise a 16-mark question,Practise equations,Translate sentences"</formula1>
    </dataValidation>
    <dataValidation type="list" allowBlank="1" showInputMessage="1" showErrorMessage="1" sqref="C4:C1000" xr:uid="{F94959DB-CE01-4A63-8621-6147A58A4425}">
      <formula1>"Green,Amber,Red"</formula1>
    </dataValidation>
  </dataValidations>
  <hyperlinks>
    <hyperlink ref="A2" location="'Dashboard'!A1" display="&lt; Return to Dashboard" xr:uid="{9AF9D96A-6B58-4489-A94A-6B01ED730B91}"/>
  </hyperlinks>
  <pageMargins left="0.75" right="0.75" top="1" bottom="1" header="0.5" footer="0.5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8"/>
  <sheetViews>
    <sheetView showGridLines="0" zoomScale="85" zoomScaleNormal="85" workbookViewId="0">
      <pane ySplit="3" topLeftCell="A5" activePane="bottomLeft" state="frozen"/>
      <selection pane="bottomLeft" activeCell="A2" sqref="A2"/>
    </sheetView>
  </sheetViews>
  <sheetFormatPr defaultRowHeight="15" x14ac:dyDescent="0.25"/>
  <cols>
    <col min="1" max="1" width="36" customWidth="1"/>
    <col min="2" max="2" width="21.5703125" customWidth="1"/>
    <col min="3" max="3" width="17.42578125" customWidth="1"/>
    <col min="4" max="4" width="21" style="18" customWidth="1"/>
    <col min="5" max="5" width="38" customWidth="1"/>
    <col min="6" max="6" width="55.7109375" customWidth="1"/>
  </cols>
  <sheetData>
    <row r="1" spans="1:6" ht="32.1" customHeight="1" x14ac:dyDescent="0.25">
      <c r="A1" s="77" t="s">
        <v>89</v>
      </c>
      <c r="B1" s="66"/>
      <c r="C1" s="66"/>
      <c r="D1" s="66"/>
      <c r="E1" s="66"/>
    </row>
    <row r="2" spans="1:6" ht="18" customHeight="1" x14ac:dyDescent="0.25">
      <c r="A2" s="30" t="s">
        <v>42</v>
      </c>
    </row>
    <row r="3" spans="1:6" ht="26.1" customHeight="1" x14ac:dyDescent="0.25">
      <c r="A3" s="6" t="s">
        <v>43</v>
      </c>
      <c r="B3" s="6" t="s">
        <v>44</v>
      </c>
      <c r="C3" s="6" t="s">
        <v>45</v>
      </c>
      <c r="D3" s="19" t="s">
        <v>39</v>
      </c>
      <c r="E3" s="6" t="s">
        <v>46</v>
      </c>
      <c r="F3" s="36" t="s">
        <v>47</v>
      </c>
    </row>
    <row r="4" spans="1:6" ht="85.5" customHeight="1" x14ac:dyDescent="0.25">
      <c r="A4" s="31" t="s">
        <v>90</v>
      </c>
      <c r="B4" s="9" t="s">
        <v>31</v>
      </c>
      <c r="C4" s="9" t="s">
        <v>32</v>
      </c>
      <c r="D4" s="10">
        <v>46315</v>
      </c>
      <c r="E4" s="33" t="s">
        <v>91</v>
      </c>
      <c r="F4" s="35"/>
    </row>
    <row r="5" spans="1:6" ht="74.25" customHeight="1" x14ac:dyDescent="0.25">
      <c r="A5" s="8" t="s">
        <v>92</v>
      </c>
      <c r="B5" s="9" t="s">
        <v>31</v>
      </c>
      <c r="C5" s="9" t="s">
        <v>37</v>
      </c>
      <c r="D5" s="10">
        <v>46317</v>
      </c>
      <c r="E5" s="33"/>
      <c r="F5" s="35" t="s">
        <v>93</v>
      </c>
    </row>
    <row r="6" spans="1:6" ht="119.25" customHeight="1" x14ac:dyDescent="0.25">
      <c r="A6" s="8" t="s">
        <v>94</v>
      </c>
      <c r="B6" s="9" t="s">
        <v>31</v>
      </c>
      <c r="C6" s="9" t="s">
        <v>33</v>
      </c>
      <c r="D6" s="10">
        <v>46311</v>
      </c>
      <c r="E6" s="33" t="s">
        <v>95</v>
      </c>
      <c r="F6" s="35"/>
    </row>
    <row r="7" spans="1:6" ht="42.75" customHeight="1" x14ac:dyDescent="0.25">
      <c r="A7" s="8" t="s">
        <v>96</v>
      </c>
      <c r="B7" s="9" t="s">
        <v>31</v>
      </c>
      <c r="C7" s="9" t="s">
        <v>32</v>
      </c>
      <c r="D7" s="10">
        <v>46315</v>
      </c>
      <c r="E7" s="33"/>
      <c r="F7" s="35"/>
    </row>
    <row r="8" spans="1:6" ht="76.5" customHeight="1" x14ac:dyDescent="0.25">
      <c r="A8" s="8" t="s">
        <v>97</v>
      </c>
      <c r="B8" s="9" t="s">
        <v>31</v>
      </c>
      <c r="C8" s="9" t="s">
        <v>32</v>
      </c>
      <c r="D8" s="10">
        <v>46315</v>
      </c>
      <c r="E8" s="33"/>
      <c r="F8" s="35"/>
    </row>
    <row r="9" spans="1:6" ht="54.75" customHeight="1" x14ac:dyDescent="0.25">
      <c r="A9" s="20" t="s">
        <v>98</v>
      </c>
      <c r="B9" s="9"/>
      <c r="C9" s="9"/>
      <c r="D9" s="10"/>
      <c r="E9" s="33"/>
      <c r="F9" s="35"/>
    </row>
    <row r="10" spans="1:6" ht="62.25" customHeight="1" x14ac:dyDescent="0.25">
      <c r="A10" s="8" t="s">
        <v>99</v>
      </c>
      <c r="B10" s="9"/>
      <c r="C10" s="9"/>
      <c r="D10" s="10"/>
      <c r="E10" s="33"/>
      <c r="F10" s="35"/>
    </row>
    <row r="11" spans="1:6" ht="36" customHeight="1" x14ac:dyDescent="0.25">
      <c r="A11" s="31" t="s">
        <v>100</v>
      </c>
      <c r="B11" s="9"/>
      <c r="C11" s="9"/>
      <c r="D11" s="10"/>
      <c r="E11" s="33"/>
      <c r="F11" s="35"/>
    </row>
    <row r="12" spans="1:6" ht="39.75" customHeight="1" x14ac:dyDescent="0.25">
      <c r="A12" s="8" t="s">
        <v>101</v>
      </c>
      <c r="B12" s="9"/>
      <c r="C12" s="9"/>
      <c r="D12" s="10"/>
      <c r="E12" s="33"/>
      <c r="F12" s="35"/>
    </row>
    <row r="13" spans="1:6" ht="42" customHeight="1" x14ac:dyDescent="0.25">
      <c r="A13" s="8"/>
      <c r="B13" s="9"/>
      <c r="C13" s="9"/>
      <c r="D13" s="10"/>
      <c r="E13" s="33"/>
      <c r="F13" s="35"/>
    </row>
    <row r="14" spans="1:6" ht="49.5" customHeight="1" x14ac:dyDescent="0.25">
      <c r="A14" s="8"/>
      <c r="B14" s="9"/>
      <c r="C14" s="9"/>
      <c r="D14" s="10"/>
      <c r="E14" s="33"/>
      <c r="F14" s="35"/>
    </row>
    <row r="15" spans="1:6" ht="24" customHeight="1" x14ac:dyDescent="0.25">
      <c r="A15" s="8"/>
      <c r="B15" s="9"/>
      <c r="C15" s="9"/>
      <c r="D15" s="10"/>
      <c r="E15" s="33"/>
      <c r="F15" s="35"/>
    </row>
    <row r="16" spans="1:6" ht="24" customHeight="1" x14ac:dyDescent="0.25">
      <c r="A16" s="8"/>
      <c r="B16" s="9"/>
      <c r="C16" s="9"/>
      <c r="D16" s="10"/>
      <c r="E16" s="33"/>
      <c r="F16" s="35"/>
    </row>
    <row r="17" spans="1:6" ht="24" customHeight="1" x14ac:dyDescent="0.25">
      <c r="A17" s="8"/>
      <c r="B17" s="9"/>
      <c r="C17" s="9"/>
      <c r="D17" s="10"/>
      <c r="E17" s="33"/>
      <c r="F17" s="35"/>
    </row>
    <row r="18" spans="1:6" ht="24" customHeight="1" x14ac:dyDescent="0.25">
      <c r="A18" s="8"/>
      <c r="B18" s="9"/>
      <c r="C18" s="9"/>
      <c r="D18" s="10"/>
      <c r="E18" s="33"/>
      <c r="F18" s="34"/>
    </row>
  </sheetData>
  <mergeCells count="1">
    <mergeCell ref="A1:E1"/>
  </mergeCells>
  <conditionalFormatting sqref="B4:B18">
    <cfRule type="cellIs" dxfId="35" priority="5" operator="equal">
      <formula>"Not Started"</formula>
    </cfRule>
    <cfRule type="cellIs" dxfId="34" priority="6" operator="equal">
      <formula>"In Progress"</formula>
    </cfRule>
    <cfRule type="cellIs" dxfId="33" priority="7" operator="equal">
      <formula>"Completed"</formula>
    </cfRule>
  </conditionalFormatting>
  <conditionalFormatting sqref="C4:C18">
    <cfRule type="cellIs" dxfId="32" priority="1" operator="equal">
      <formula>"Green"</formula>
    </cfRule>
    <cfRule type="cellIs" dxfId="31" priority="2" operator="equal">
      <formula>"Amber"</formula>
    </cfRule>
    <cfRule type="cellIs" dxfId="30" priority="3" operator="equal">
      <formula>"Red"</formula>
    </cfRule>
  </conditionalFormatting>
  <dataValidations count="3">
    <dataValidation type="list" allowBlank="1" sqref="B4:B18" xr:uid="{00000000-0002-0000-0500-000000000000}">
      <formula1>"Not Started,In Progress,Completed"</formula1>
    </dataValidation>
    <dataValidation type="list" allowBlank="1" sqref="E4:E18" xr:uid="{00000000-0002-0000-0500-000002000000}">
      <formula1>"Quick active recall,Test key definitions,Practise examination questions,Review knowledge gaps,Practise calculations,Recall a case study,Test vocabulary,Practise a 16-mark question,Practise equations,Translate sentences"</formula1>
    </dataValidation>
    <dataValidation type="list" allowBlank="1" showInputMessage="1" showErrorMessage="1" sqref="C4:C1000" xr:uid="{6F71802A-2A8D-4C80-BB0D-395F97010563}">
      <formula1>"Green,Amber,Red"</formula1>
    </dataValidation>
  </dataValidations>
  <hyperlinks>
    <hyperlink ref="A2" location="'Dashboard'!A1" display="&lt; Return to Dashboard" xr:uid="{256F0676-1111-48D2-8BF2-9E5E1DB5F676}"/>
  </hyperlinks>
  <pageMargins left="0.75" right="0.75" top="1" bottom="1" header="0.5" footer="0.5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18"/>
  <sheetViews>
    <sheetView showGridLines="0" zoomScale="115" zoomScaleNormal="115" workbookViewId="0">
      <pane ySplit="3" topLeftCell="A4" activePane="bottomLeft" state="frozen"/>
      <selection pane="bottomLeft" activeCell="A4" sqref="A4"/>
    </sheetView>
  </sheetViews>
  <sheetFormatPr defaultRowHeight="15" x14ac:dyDescent="0.25"/>
  <cols>
    <col min="1" max="1" width="36" customWidth="1"/>
    <col min="2" max="3" width="14" customWidth="1"/>
    <col min="4" max="4" width="21.28515625" style="18" customWidth="1"/>
    <col min="5" max="5" width="38" customWidth="1"/>
    <col min="6" max="6" width="55.7109375" customWidth="1"/>
  </cols>
  <sheetData>
    <row r="1" spans="1:6" ht="32.1" customHeight="1" x14ac:dyDescent="0.25">
      <c r="A1" s="76" t="s">
        <v>102</v>
      </c>
      <c r="B1" s="66"/>
      <c r="C1" s="66"/>
      <c r="D1" s="66"/>
      <c r="E1" s="66"/>
    </row>
    <row r="2" spans="1:6" ht="18" customHeight="1" x14ac:dyDescent="0.25">
      <c r="A2" s="30" t="s">
        <v>42</v>
      </c>
    </row>
    <row r="3" spans="1:6" ht="26.1" customHeight="1" x14ac:dyDescent="0.25">
      <c r="A3" s="7" t="s">
        <v>43</v>
      </c>
      <c r="B3" s="7" t="s">
        <v>44</v>
      </c>
      <c r="C3" s="7" t="s">
        <v>45</v>
      </c>
      <c r="D3" s="17" t="s">
        <v>39</v>
      </c>
      <c r="E3" s="7" t="s">
        <v>46</v>
      </c>
      <c r="F3" s="17" t="s">
        <v>47</v>
      </c>
    </row>
    <row r="4" spans="1:6" ht="49.5" customHeight="1" x14ac:dyDescent="0.25">
      <c r="A4" s="8" t="s">
        <v>103</v>
      </c>
      <c r="B4" s="9"/>
      <c r="C4" s="9"/>
      <c r="D4" s="10"/>
      <c r="E4" s="33"/>
      <c r="F4" s="35"/>
    </row>
    <row r="5" spans="1:6" ht="104.25" customHeight="1" x14ac:dyDescent="0.25">
      <c r="A5" s="8" t="s">
        <v>104</v>
      </c>
      <c r="B5" s="9" t="s">
        <v>30</v>
      </c>
      <c r="C5" s="9" t="s">
        <v>32</v>
      </c>
      <c r="D5" s="21">
        <v>46318</v>
      </c>
      <c r="E5" s="33" t="s">
        <v>105</v>
      </c>
      <c r="F5" s="35"/>
    </row>
    <row r="6" spans="1:6" ht="41.25" customHeight="1" x14ac:dyDescent="0.25">
      <c r="A6" s="8" t="s">
        <v>106</v>
      </c>
      <c r="B6" s="9"/>
      <c r="C6" s="9"/>
      <c r="D6" s="10"/>
      <c r="E6" s="33"/>
      <c r="F6" s="35"/>
    </row>
    <row r="7" spans="1:6" ht="71.25" customHeight="1" x14ac:dyDescent="0.25">
      <c r="A7" s="8" t="s">
        <v>107</v>
      </c>
      <c r="B7" s="9"/>
      <c r="C7" s="9"/>
      <c r="D7" s="10"/>
      <c r="E7" s="33"/>
      <c r="F7" s="35"/>
    </row>
    <row r="8" spans="1:6" ht="105.75" customHeight="1" x14ac:dyDescent="0.25">
      <c r="A8" s="8" t="s">
        <v>108</v>
      </c>
      <c r="B8" s="9"/>
      <c r="C8" s="9"/>
      <c r="D8" s="10"/>
      <c r="E8" s="33"/>
      <c r="F8" s="35"/>
    </row>
    <row r="9" spans="1:6" ht="48.75" customHeight="1" x14ac:dyDescent="0.25">
      <c r="A9" s="8" t="s">
        <v>109</v>
      </c>
      <c r="B9" s="9"/>
      <c r="C9" s="9"/>
      <c r="D9" s="10"/>
      <c r="E9" s="33"/>
      <c r="F9" s="35"/>
    </row>
    <row r="10" spans="1:6" ht="24" customHeight="1" x14ac:dyDescent="0.25">
      <c r="A10" s="8"/>
      <c r="B10" s="9"/>
      <c r="C10" s="9"/>
      <c r="D10" s="10"/>
      <c r="E10" s="33"/>
      <c r="F10" s="35"/>
    </row>
    <row r="11" spans="1:6" ht="24" customHeight="1" x14ac:dyDescent="0.25">
      <c r="A11" s="8"/>
      <c r="B11" s="9"/>
      <c r="C11" s="9"/>
      <c r="D11" s="10"/>
      <c r="E11" s="33"/>
      <c r="F11" s="35"/>
    </row>
    <row r="12" spans="1:6" ht="24" customHeight="1" x14ac:dyDescent="0.25">
      <c r="A12" s="8"/>
      <c r="B12" s="9"/>
      <c r="C12" s="9"/>
      <c r="D12" s="10"/>
      <c r="E12" s="33"/>
      <c r="F12" s="35"/>
    </row>
    <row r="13" spans="1:6" ht="24" customHeight="1" x14ac:dyDescent="0.25">
      <c r="A13" s="8"/>
      <c r="B13" s="9"/>
      <c r="C13" s="9"/>
      <c r="D13" s="10"/>
      <c r="E13" s="33"/>
      <c r="F13" s="35"/>
    </row>
    <row r="14" spans="1:6" ht="24" customHeight="1" x14ac:dyDescent="0.25">
      <c r="A14" s="8"/>
      <c r="B14" s="9"/>
      <c r="C14" s="9"/>
      <c r="D14" s="10"/>
      <c r="E14" s="33"/>
      <c r="F14" s="35"/>
    </row>
    <row r="15" spans="1:6" ht="24" customHeight="1" x14ac:dyDescent="0.25">
      <c r="A15" s="8"/>
      <c r="B15" s="9"/>
      <c r="C15" s="9"/>
      <c r="D15" s="10"/>
      <c r="E15" s="33"/>
      <c r="F15" s="35"/>
    </row>
    <row r="16" spans="1:6" ht="24" customHeight="1" x14ac:dyDescent="0.25">
      <c r="A16" s="8"/>
      <c r="B16" s="9"/>
      <c r="C16" s="9"/>
      <c r="D16" s="10"/>
      <c r="E16" s="33"/>
      <c r="F16" s="35"/>
    </row>
    <row r="17" spans="1:6" ht="24" customHeight="1" x14ac:dyDescent="0.25">
      <c r="A17" s="8"/>
      <c r="B17" s="9"/>
      <c r="C17" s="9"/>
      <c r="D17" s="10"/>
      <c r="E17" s="33"/>
      <c r="F17" s="35"/>
    </row>
    <row r="18" spans="1:6" ht="24" customHeight="1" x14ac:dyDescent="0.25">
      <c r="A18" s="8"/>
      <c r="B18" s="9"/>
      <c r="C18" s="9"/>
      <c r="D18" s="10"/>
      <c r="E18" s="33"/>
      <c r="F18" s="34"/>
    </row>
  </sheetData>
  <mergeCells count="1">
    <mergeCell ref="A1:E1"/>
  </mergeCells>
  <conditionalFormatting sqref="B4:B18">
    <cfRule type="cellIs" dxfId="29" priority="5" operator="equal">
      <formula>"Not Started"</formula>
    </cfRule>
    <cfRule type="cellIs" dxfId="28" priority="6" operator="equal">
      <formula>"In Progress"</formula>
    </cfRule>
    <cfRule type="cellIs" dxfId="27" priority="7" operator="equal">
      <formula>"Completed"</formula>
    </cfRule>
  </conditionalFormatting>
  <conditionalFormatting sqref="C4:C18">
    <cfRule type="cellIs" dxfId="26" priority="1" operator="equal">
      <formula>"Green"</formula>
    </cfRule>
    <cfRule type="cellIs" dxfId="25" priority="2" operator="equal">
      <formula>"Amber"</formula>
    </cfRule>
    <cfRule type="cellIs" dxfId="24" priority="3" operator="equal">
      <formula>"Red"</formula>
    </cfRule>
  </conditionalFormatting>
  <dataValidations count="3">
    <dataValidation type="list" allowBlank="1" sqref="B4:B18" xr:uid="{00000000-0002-0000-0600-000000000000}">
      <formula1>"Not Started,In Progress,Completed"</formula1>
    </dataValidation>
    <dataValidation type="list" allowBlank="1" sqref="E4:E18" xr:uid="{00000000-0002-0000-0600-000002000000}">
      <formula1>"Quick active recall,Test key definitions,Practise examination questions,Review knowledge gaps,Practise calculations,Recall a case study,Test vocabulary,Practise a 16-mark question,Practise equations,Translate sentences"</formula1>
    </dataValidation>
    <dataValidation type="list" allowBlank="1" showInputMessage="1" showErrorMessage="1" sqref="C4:C1000" xr:uid="{4647D610-A084-4D58-AF9B-C59CD8537776}">
      <formula1>"Green,Amber,Red"</formula1>
    </dataValidation>
  </dataValidations>
  <hyperlinks>
    <hyperlink ref="A2" location="'Dashboard'!A1" display="&lt; Return to Dashboard" xr:uid="{532A4B47-D439-47B5-B1E0-9945B794BCDE}"/>
  </hyperlinks>
  <pageMargins left="0.75" right="0.75" top="1" bottom="1" header="0.5" footer="0.5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18"/>
  <sheetViews>
    <sheetView showGridLines="0" workbookViewId="0">
      <pane ySplit="3" topLeftCell="A4" activePane="bottomLeft" state="frozen"/>
      <selection pane="bottomLeft" activeCell="A4" sqref="A4"/>
    </sheetView>
  </sheetViews>
  <sheetFormatPr defaultRowHeight="15" x14ac:dyDescent="0.25"/>
  <cols>
    <col min="1" max="1" width="36" customWidth="1"/>
    <col min="2" max="3" width="14" customWidth="1"/>
    <col min="4" max="4" width="15" style="18" customWidth="1"/>
    <col min="5" max="5" width="38" customWidth="1"/>
    <col min="6" max="6" width="55.7109375" customWidth="1"/>
  </cols>
  <sheetData>
    <row r="1" spans="1:6" ht="32.1" customHeight="1" x14ac:dyDescent="0.25">
      <c r="A1" s="76" t="s">
        <v>110</v>
      </c>
      <c r="B1" s="66"/>
      <c r="C1" s="66"/>
      <c r="D1" s="66"/>
      <c r="E1" s="66"/>
    </row>
    <row r="2" spans="1:6" ht="18" customHeight="1" x14ac:dyDescent="0.25">
      <c r="A2" s="30" t="s">
        <v>42</v>
      </c>
    </row>
    <row r="3" spans="1:6" ht="26.1" customHeight="1" x14ac:dyDescent="0.25">
      <c r="A3" s="6" t="s">
        <v>43</v>
      </c>
      <c r="B3" s="6" t="s">
        <v>44</v>
      </c>
      <c r="C3" s="6" t="s">
        <v>45</v>
      </c>
      <c r="D3" s="19" t="s">
        <v>39</v>
      </c>
      <c r="E3" s="6" t="s">
        <v>46</v>
      </c>
      <c r="F3" s="36" t="s">
        <v>47</v>
      </c>
    </row>
    <row r="4" spans="1:6" ht="126.75" customHeight="1" x14ac:dyDescent="0.25">
      <c r="A4" s="8" t="s">
        <v>111</v>
      </c>
      <c r="B4" s="9" t="s">
        <v>30</v>
      </c>
      <c r="C4" s="9" t="s">
        <v>37</v>
      </c>
      <c r="D4" s="10">
        <v>46318</v>
      </c>
      <c r="E4" s="33" t="s">
        <v>112</v>
      </c>
      <c r="F4" s="35"/>
    </row>
    <row r="5" spans="1:6" ht="24" customHeight="1" x14ac:dyDescent="0.25">
      <c r="A5" s="8" t="s">
        <v>113</v>
      </c>
      <c r="B5" s="9"/>
      <c r="C5" s="9"/>
      <c r="D5" s="10"/>
      <c r="E5" s="33"/>
      <c r="F5" s="35"/>
    </row>
    <row r="6" spans="1:6" ht="24" customHeight="1" x14ac:dyDescent="0.25">
      <c r="A6" s="8" t="s">
        <v>114</v>
      </c>
      <c r="B6" s="9"/>
      <c r="C6" s="9"/>
      <c r="D6" s="10"/>
      <c r="E6" s="33"/>
      <c r="F6" s="35"/>
    </row>
    <row r="7" spans="1:6" ht="24" customHeight="1" x14ac:dyDescent="0.25">
      <c r="A7" s="8" t="s">
        <v>115</v>
      </c>
      <c r="B7" s="9"/>
      <c r="C7" s="9"/>
      <c r="D7" s="10"/>
      <c r="E7" s="33"/>
      <c r="F7" s="35"/>
    </row>
    <row r="8" spans="1:6" ht="154.5" customHeight="1" x14ac:dyDescent="0.25">
      <c r="A8" s="8" t="s">
        <v>116</v>
      </c>
      <c r="B8" s="9" t="s">
        <v>31</v>
      </c>
      <c r="C8" s="9" t="s">
        <v>37</v>
      </c>
      <c r="D8" s="10">
        <v>46315</v>
      </c>
      <c r="E8" s="33" t="s">
        <v>117</v>
      </c>
      <c r="F8" s="35"/>
    </row>
    <row r="9" spans="1:6" ht="24" customHeight="1" x14ac:dyDescent="0.25">
      <c r="A9" s="8"/>
      <c r="B9" s="9"/>
      <c r="C9" s="9"/>
      <c r="D9" s="10"/>
      <c r="E9" s="33"/>
      <c r="F9" s="35"/>
    </row>
    <row r="10" spans="1:6" ht="24" customHeight="1" x14ac:dyDescent="0.25">
      <c r="A10" s="8"/>
      <c r="B10" s="9"/>
      <c r="C10" s="9"/>
      <c r="D10" s="10"/>
      <c r="E10" s="33"/>
      <c r="F10" s="35"/>
    </row>
    <row r="11" spans="1:6" ht="24" customHeight="1" x14ac:dyDescent="0.25">
      <c r="A11" s="8"/>
      <c r="B11" s="9"/>
      <c r="C11" s="9"/>
      <c r="D11" s="10"/>
      <c r="E11" s="33"/>
      <c r="F11" s="35"/>
    </row>
    <row r="12" spans="1:6" ht="24" customHeight="1" x14ac:dyDescent="0.25">
      <c r="A12" s="8"/>
      <c r="B12" s="9"/>
      <c r="C12" s="9"/>
      <c r="D12" s="10"/>
      <c r="E12" s="33"/>
      <c r="F12" s="35"/>
    </row>
    <row r="13" spans="1:6" ht="24" customHeight="1" x14ac:dyDescent="0.25">
      <c r="A13" s="8"/>
      <c r="B13" s="9"/>
      <c r="C13" s="9"/>
      <c r="D13" s="10"/>
      <c r="E13" s="33"/>
      <c r="F13" s="35"/>
    </row>
    <row r="14" spans="1:6" ht="24" customHeight="1" x14ac:dyDescent="0.25">
      <c r="A14" s="8"/>
      <c r="B14" s="9"/>
      <c r="C14" s="9"/>
      <c r="D14" s="10"/>
      <c r="E14" s="33"/>
      <c r="F14" s="35"/>
    </row>
    <row r="15" spans="1:6" ht="24" customHeight="1" x14ac:dyDescent="0.25">
      <c r="A15" s="8"/>
      <c r="B15" s="9"/>
      <c r="C15" s="9"/>
      <c r="D15" s="10"/>
      <c r="E15" s="33"/>
      <c r="F15" s="35"/>
    </row>
    <row r="16" spans="1:6" ht="24" customHeight="1" x14ac:dyDescent="0.25">
      <c r="A16" s="8"/>
      <c r="B16" s="9"/>
      <c r="C16" s="9"/>
      <c r="D16" s="10"/>
      <c r="E16" s="33"/>
      <c r="F16" s="35"/>
    </row>
    <row r="17" spans="1:6" ht="24" customHeight="1" x14ac:dyDescent="0.25">
      <c r="A17" s="8"/>
      <c r="B17" s="9"/>
      <c r="C17" s="9"/>
      <c r="D17" s="10"/>
      <c r="E17" s="33"/>
      <c r="F17" s="35"/>
    </row>
    <row r="18" spans="1:6" ht="24" customHeight="1" x14ac:dyDescent="0.25">
      <c r="A18" s="8"/>
      <c r="B18" s="9"/>
      <c r="C18" s="9"/>
      <c r="D18" s="10"/>
      <c r="E18" s="33"/>
      <c r="F18" s="34"/>
    </row>
  </sheetData>
  <mergeCells count="1">
    <mergeCell ref="A1:E1"/>
  </mergeCells>
  <conditionalFormatting sqref="B4:B18">
    <cfRule type="cellIs" dxfId="23" priority="5" operator="equal">
      <formula>"Not Started"</formula>
    </cfRule>
    <cfRule type="cellIs" dxfId="22" priority="6" operator="equal">
      <formula>"In Progress"</formula>
    </cfRule>
    <cfRule type="cellIs" dxfId="21" priority="7" operator="equal">
      <formula>"Completed"</formula>
    </cfRule>
  </conditionalFormatting>
  <conditionalFormatting sqref="C4:C18">
    <cfRule type="cellIs" dxfId="20" priority="1" operator="equal">
      <formula>"Green"</formula>
    </cfRule>
    <cfRule type="cellIs" dxfId="19" priority="2" operator="equal">
      <formula>"Amber"</formula>
    </cfRule>
    <cfRule type="cellIs" dxfId="18" priority="3" operator="equal">
      <formula>"Red"</formula>
    </cfRule>
  </conditionalFormatting>
  <dataValidations count="3">
    <dataValidation type="list" allowBlank="1" sqref="B4:B18" xr:uid="{00000000-0002-0000-0700-000000000000}">
      <formula1>"Not Started,In Progress,Completed"</formula1>
    </dataValidation>
    <dataValidation type="list" allowBlank="1" sqref="E4:E18" xr:uid="{00000000-0002-0000-0700-000002000000}">
      <formula1>"Quick active recall,Test key definitions,Practise examination questions,Review knowledge gaps,Practise calculations,Recall a case study,Test vocabulary,Practise a 16-mark question,Practise equations,Translate sentences"</formula1>
    </dataValidation>
    <dataValidation type="list" allowBlank="1" showInputMessage="1" showErrorMessage="1" sqref="C4:C1000" xr:uid="{15AF1E36-42FD-4CF9-95B4-34BFF7143734}">
      <formula1>"Green,Amber,Red"</formula1>
    </dataValidation>
  </dataValidations>
  <hyperlinks>
    <hyperlink ref="A2" location="'Dashboard'!A1" display="&lt; Return to Dashboard" xr:uid="{6C29F949-0882-4F04-95C2-56A5A530131C}"/>
  </hyperlinks>
  <pageMargins left="0.75" right="0.75" top="1" bottom="1" header="0.5" footer="0.5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18"/>
  <sheetViews>
    <sheetView showGridLines="0" workbookViewId="0">
      <pane ySplit="3" topLeftCell="A4" activePane="bottomLeft" state="frozen"/>
      <selection activeCell="D1" sqref="D1"/>
      <selection pane="bottomLeft" activeCell="I8" sqref="I8"/>
    </sheetView>
  </sheetViews>
  <sheetFormatPr defaultRowHeight="15" x14ac:dyDescent="0.25"/>
  <cols>
    <col min="1" max="1" width="36" customWidth="1"/>
    <col min="2" max="3" width="14" customWidth="1"/>
    <col min="4" max="4" width="17.7109375" style="18" customWidth="1"/>
    <col min="5" max="5" width="43.5703125" customWidth="1"/>
    <col min="6" max="6" width="55.7109375" customWidth="1"/>
  </cols>
  <sheetData>
    <row r="1" spans="1:6" ht="32.1" customHeight="1" x14ac:dyDescent="0.25">
      <c r="A1" s="77" t="s">
        <v>118</v>
      </c>
      <c r="B1" s="66"/>
      <c r="C1" s="66"/>
      <c r="D1" s="66"/>
      <c r="E1" s="66"/>
    </row>
    <row r="2" spans="1:6" ht="18" customHeight="1" x14ac:dyDescent="0.25">
      <c r="A2" s="30" t="s">
        <v>42</v>
      </c>
    </row>
    <row r="3" spans="1:6" ht="26.1" customHeight="1" x14ac:dyDescent="0.25">
      <c r="A3" s="6" t="s">
        <v>43</v>
      </c>
      <c r="B3" s="6" t="s">
        <v>44</v>
      </c>
      <c r="C3" s="6" t="s">
        <v>45</v>
      </c>
      <c r="D3" s="19" t="s">
        <v>39</v>
      </c>
      <c r="E3" s="6" t="s">
        <v>46</v>
      </c>
      <c r="F3" s="36" t="s">
        <v>47</v>
      </c>
    </row>
    <row r="4" spans="1:6" ht="115.5" customHeight="1" x14ac:dyDescent="0.25">
      <c r="A4" s="2" t="s">
        <v>119</v>
      </c>
      <c r="B4" s="3" t="s">
        <v>30</v>
      </c>
      <c r="C4" s="3" t="s">
        <v>37</v>
      </c>
      <c r="D4" s="4">
        <v>46317</v>
      </c>
      <c r="E4" s="33" t="s">
        <v>120</v>
      </c>
      <c r="F4" s="35"/>
    </row>
    <row r="5" spans="1:6" ht="42.75" customHeight="1" x14ac:dyDescent="0.25">
      <c r="A5" s="2" t="s">
        <v>121</v>
      </c>
      <c r="B5" s="3"/>
      <c r="C5" s="3"/>
      <c r="D5" s="4"/>
      <c r="E5" s="37"/>
      <c r="F5" s="35"/>
    </row>
    <row r="6" spans="1:6" ht="45.75" customHeight="1" x14ac:dyDescent="0.25">
      <c r="A6" s="2" t="s">
        <v>122</v>
      </c>
      <c r="B6" s="3"/>
      <c r="C6" s="3"/>
      <c r="D6" s="4"/>
      <c r="E6" s="37"/>
      <c r="F6" s="35"/>
    </row>
    <row r="7" spans="1:6" ht="24" customHeight="1" x14ac:dyDescent="0.25">
      <c r="A7" s="2"/>
      <c r="B7" s="3"/>
      <c r="C7" s="3"/>
      <c r="D7" s="4"/>
      <c r="E7" s="37"/>
      <c r="F7" s="35"/>
    </row>
    <row r="8" spans="1:6" ht="24" customHeight="1" x14ac:dyDescent="0.25">
      <c r="A8" s="2"/>
      <c r="B8" s="3"/>
      <c r="C8" s="3"/>
      <c r="D8" s="4"/>
      <c r="E8" s="37"/>
      <c r="F8" s="35"/>
    </row>
    <row r="9" spans="1:6" ht="24" customHeight="1" x14ac:dyDescent="0.25">
      <c r="A9" s="2"/>
      <c r="B9" s="3"/>
      <c r="C9" s="3"/>
      <c r="D9" s="4"/>
      <c r="E9" s="37"/>
      <c r="F9" s="35"/>
    </row>
    <row r="10" spans="1:6" ht="24" customHeight="1" x14ac:dyDescent="0.25">
      <c r="A10" s="2"/>
      <c r="B10" s="3"/>
      <c r="C10" s="3"/>
      <c r="D10" s="4"/>
      <c r="E10" s="37"/>
      <c r="F10" s="35"/>
    </row>
    <row r="11" spans="1:6" ht="24" customHeight="1" x14ac:dyDescent="0.25">
      <c r="A11" s="2"/>
      <c r="B11" s="3"/>
      <c r="C11" s="3"/>
      <c r="D11" s="4"/>
      <c r="E11" s="37"/>
      <c r="F11" s="35"/>
    </row>
    <row r="12" spans="1:6" ht="24" customHeight="1" x14ac:dyDescent="0.25">
      <c r="A12" s="2"/>
      <c r="B12" s="3"/>
      <c r="C12" s="3"/>
      <c r="D12" s="4"/>
      <c r="E12" s="37"/>
      <c r="F12" s="35"/>
    </row>
    <row r="13" spans="1:6" ht="24" customHeight="1" x14ac:dyDescent="0.25">
      <c r="A13" s="2"/>
      <c r="B13" s="3"/>
      <c r="C13" s="3"/>
      <c r="D13" s="4"/>
      <c r="E13" s="37"/>
      <c r="F13" s="35"/>
    </row>
    <row r="14" spans="1:6" ht="24" customHeight="1" x14ac:dyDescent="0.25">
      <c r="A14" s="2"/>
      <c r="B14" s="3"/>
      <c r="C14" s="3"/>
      <c r="D14" s="4"/>
      <c r="E14" s="37"/>
      <c r="F14" s="35"/>
    </row>
    <row r="15" spans="1:6" ht="24" customHeight="1" x14ac:dyDescent="0.25">
      <c r="A15" s="2"/>
      <c r="B15" s="3"/>
      <c r="C15" s="3"/>
      <c r="D15" s="4"/>
      <c r="E15" s="37"/>
      <c r="F15" s="35"/>
    </row>
    <row r="16" spans="1:6" ht="24" customHeight="1" x14ac:dyDescent="0.25">
      <c r="A16" s="2"/>
      <c r="B16" s="3"/>
      <c r="C16" s="3"/>
      <c r="D16" s="4"/>
      <c r="E16" s="37"/>
      <c r="F16" s="35"/>
    </row>
    <row r="17" spans="1:6" ht="24" customHeight="1" x14ac:dyDescent="0.25">
      <c r="A17" s="2"/>
      <c r="B17" s="3"/>
      <c r="C17" s="3"/>
      <c r="D17" s="4"/>
      <c r="E17" s="37"/>
      <c r="F17" s="35"/>
    </row>
    <row r="18" spans="1:6" ht="24" customHeight="1" x14ac:dyDescent="0.25">
      <c r="A18" s="2"/>
      <c r="B18" s="3"/>
      <c r="C18" s="3"/>
      <c r="D18" s="4"/>
      <c r="E18" s="37"/>
      <c r="F18" s="34"/>
    </row>
  </sheetData>
  <mergeCells count="1">
    <mergeCell ref="A1:E1"/>
  </mergeCells>
  <conditionalFormatting sqref="B4:B18">
    <cfRule type="cellIs" dxfId="17" priority="5" operator="equal">
      <formula>"Not Started"</formula>
    </cfRule>
    <cfRule type="cellIs" dxfId="16" priority="6" operator="equal">
      <formula>"In Progress"</formula>
    </cfRule>
    <cfRule type="cellIs" dxfId="15" priority="7" operator="equal">
      <formula>"Completed"</formula>
    </cfRule>
  </conditionalFormatting>
  <conditionalFormatting sqref="C4:C18">
    <cfRule type="cellIs" dxfId="14" priority="1" operator="equal">
      <formula>"Green"</formula>
    </cfRule>
    <cfRule type="cellIs" dxfId="13" priority="2" operator="equal">
      <formula>"Amber"</formula>
    </cfRule>
    <cfRule type="cellIs" dxfId="12" priority="3" operator="equal">
      <formula>"Red"</formula>
    </cfRule>
  </conditionalFormatting>
  <dataValidations count="3">
    <dataValidation type="list" allowBlank="1" sqref="B4:B18" xr:uid="{00000000-0002-0000-0800-000000000000}">
      <formula1>"Not Started,In Progress,Completed"</formula1>
    </dataValidation>
    <dataValidation type="list" allowBlank="1" sqref="E4:E18" xr:uid="{00000000-0002-0000-0800-000002000000}">
      <formula1>"Quick active recall,Test key definitions,Practise examination questions,Review knowledge gaps,Practise calculations,Recall a case study,Test vocabulary,Practise a 16-mark question,Practise equations,Translate sentences"</formula1>
    </dataValidation>
    <dataValidation type="list" allowBlank="1" showInputMessage="1" showErrorMessage="1" sqref="C4:C1000" xr:uid="{5CD10166-6FE4-4EB5-91B1-D37A7BE2EFF9}">
      <formula1>"Green,Amber,Red"</formula1>
    </dataValidation>
  </dataValidations>
  <hyperlinks>
    <hyperlink ref="A2" location="'Dashboard'!A1" display="&lt; Return to Dashboard" xr:uid="{AD72605E-D32B-4218-B4CF-360171F9B183}"/>
  </hyperlinks>
  <pageMargins left="0.75" right="0.75" top="1" bottom="1" header="0.5" footer="0.5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18"/>
  <sheetViews>
    <sheetView showGridLines="0" workbookViewId="0">
      <pane ySplit="3" topLeftCell="A4" activePane="bottomLeft" state="frozen"/>
      <selection pane="bottomLeft" activeCell="N5" sqref="N5"/>
    </sheetView>
  </sheetViews>
  <sheetFormatPr defaultRowHeight="15" x14ac:dyDescent="0.25"/>
  <cols>
    <col min="1" max="1" width="36" customWidth="1"/>
    <col min="2" max="2" width="14" customWidth="1"/>
    <col min="3" max="3" width="21.140625" customWidth="1"/>
    <col min="4" max="4" width="22.42578125" style="18" customWidth="1"/>
    <col min="5" max="5" width="38" customWidth="1"/>
    <col min="6" max="6" width="55.7109375" customWidth="1"/>
  </cols>
  <sheetData>
    <row r="1" spans="1:6" ht="32.1" customHeight="1" x14ac:dyDescent="0.25">
      <c r="A1" s="77" t="s">
        <v>123</v>
      </c>
      <c r="B1" s="66"/>
      <c r="C1" s="66"/>
      <c r="D1" s="66"/>
      <c r="E1" s="66"/>
    </row>
    <row r="2" spans="1:6" ht="18" customHeight="1" x14ac:dyDescent="0.25">
      <c r="A2" s="30" t="s">
        <v>42</v>
      </c>
    </row>
    <row r="3" spans="1:6" ht="26.1" customHeight="1" x14ac:dyDescent="0.25">
      <c r="A3" s="6" t="s">
        <v>43</v>
      </c>
      <c r="B3" s="6" t="s">
        <v>44</v>
      </c>
      <c r="C3" s="6" t="s">
        <v>45</v>
      </c>
      <c r="D3" s="19" t="s">
        <v>39</v>
      </c>
      <c r="E3" s="6" t="s">
        <v>46</v>
      </c>
      <c r="F3" s="36" t="s">
        <v>47</v>
      </c>
    </row>
    <row r="4" spans="1:6" ht="113.25" customHeight="1" x14ac:dyDescent="0.25">
      <c r="A4" s="2" t="s">
        <v>124</v>
      </c>
      <c r="B4" s="3" t="s">
        <v>30</v>
      </c>
      <c r="C4" s="3" t="s">
        <v>37</v>
      </c>
      <c r="D4" s="4">
        <v>46317</v>
      </c>
      <c r="E4" s="33" t="s">
        <v>125</v>
      </c>
      <c r="F4" s="35" t="s">
        <v>126</v>
      </c>
    </row>
    <row r="5" spans="1:6" ht="45" customHeight="1" x14ac:dyDescent="0.25">
      <c r="A5" s="2" t="s">
        <v>127</v>
      </c>
      <c r="B5" s="3"/>
      <c r="C5" s="3"/>
      <c r="D5" s="4"/>
      <c r="E5" s="37"/>
      <c r="F5" s="35"/>
    </row>
    <row r="6" spans="1:6" ht="37.5" customHeight="1" x14ac:dyDescent="0.25">
      <c r="A6" s="2" t="s">
        <v>128</v>
      </c>
      <c r="B6" s="3"/>
      <c r="C6" s="3"/>
      <c r="D6" s="4"/>
      <c r="E6" s="37"/>
      <c r="F6" s="35"/>
    </row>
    <row r="7" spans="1:6" ht="40.5" customHeight="1" x14ac:dyDescent="0.25">
      <c r="A7" s="2" t="s">
        <v>129</v>
      </c>
      <c r="B7" s="3"/>
      <c r="C7" s="3"/>
      <c r="D7" s="4"/>
      <c r="E7" s="37"/>
      <c r="F7" s="35"/>
    </row>
    <row r="8" spans="1:6" ht="24" customHeight="1" x14ac:dyDescent="0.25">
      <c r="A8" s="2"/>
      <c r="B8" s="3"/>
      <c r="C8" s="3"/>
      <c r="D8" s="4"/>
      <c r="E8" s="37"/>
      <c r="F8" s="35"/>
    </row>
    <row r="9" spans="1:6" ht="24" customHeight="1" x14ac:dyDescent="0.25">
      <c r="A9" s="2"/>
      <c r="B9" s="3"/>
      <c r="C9" s="3"/>
      <c r="D9" s="4"/>
      <c r="E9" s="37"/>
      <c r="F9" s="35"/>
    </row>
    <row r="10" spans="1:6" ht="24" customHeight="1" x14ac:dyDescent="0.25">
      <c r="A10" s="2"/>
      <c r="B10" s="3"/>
      <c r="C10" s="3"/>
      <c r="D10" s="4"/>
      <c r="E10" s="37"/>
      <c r="F10" s="35"/>
    </row>
    <row r="11" spans="1:6" ht="24" customHeight="1" x14ac:dyDescent="0.25">
      <c r="A11" s="2"/>
      <c r="B11" s="3"/>
      <c r="C11" s="3"/>
      <c r="D11" s="4"/>
      <c r="E11" s="37"/>
      <c r="F11" s="35"/>
    </row>
    <row r="12" spans="1:6" ht="24" customHeight="1" x14ac:dyDescent="0.25">
      <c r="A12" s="2"/>
      <c r="B12" s="3"/>
      <c r="C12" s="3"/>
      <c r="D12" s="4"/>
      <c r="E12" s="37"/>
      <c r="F12" s="35"/>
    </row>
    <row r="13" spans="1:6" ht="24" customHeight="1" x14ac:dyDescent="0.25">
      <c r="A13" s="2"/>
      <c r="B13" s="3"/>
      <c r="C13" s="3"/>
      <c r="D13" s="4"/>
      <c r="E13" s="37"/>
      <c r="F13" s="35"/>
    </row>
    <row r="14" spans="1:6" ht="24" customHeight="1" x14ac:dyDescent="0.25">
      <c r="A14" s="2"/>
      <c r="B14" s="3"/>
      <c r="C14" s="3"/>
      <c r="D14" s="4"/>
      <c r="E14" s="37"/>
      <c r="F14" s="35"/>
    </row>
    <row r="15" spans="1:6" ht="24" customHeight="1" x14ac:dyDescent="0.25">
      <c r="A15" s="2"/>
      <c r="B15" s="3"/>
      <c r="C15" s="3"/>
      <c r="D15" s="4"/>
      <c r="E15" s="37"/>
      <c r="F15" s="35"/>
    </row>
    <row r="16" spans="1:6" ht="24" customHeight="1" x14ac:dyDescent="0.25">
      <c r="A16" s="2"/>
      <c r="B16" s="3"/>
      <c r="C16" s="3"/>
      <c r="D16" s="4"/>
      <c r="E16" s="37"/>
      <c r="F16" s="35"/>
    </row>
    <row r="17" spans="1:6" ht="24" customHeight="1" x14ac:dyDescent="0.25">
      <c r="A17" s="2"/>
      <c r="B17" s="3"/>
      <c r="C17" s="3"/>
      <c r="D17" s="4"/>
      <c r="E17" s="37"/>
      <c r="F17" s="35"/>
    </row>
    <row r="18" spans="1:6" ht="24" customHeight="1" x14ac:dyDescent="0.25">
      <c r="A18" s="2"/>
      <c r="B18" s="3"/>
      <c r="C18" s="3"/>
      <c r="D18" s="4"/>
      <c r="E18" s="37"/>
      <c r="F18" s="34"/>
    </row>
  </sheetData>
  <mergeCells count="1">
    <mergeCell ref="A1:E1"/>
  </mergeCells>
  <conditionalFormatting sqref="B4:B18">
    <cfRule type="cellIs" dxfId="11" priority="5" operator="equal">
      <formula>"Not Started"</formula>
    </cfRule>
    <cfRule type="cellIs" dxfId="10" priority="6" operator="equal">
      <formula>"In Progress"</formula>
    </cfRule>
    <cfRule type="cellIs" dxfId="9" priority="7" operator="equal">
      <formula>"Completed"</formula>
    </cfRule>
  </conditionalFormatting>
  <conditionalFormatting sqref="C4:C18">
    <cfRule type="cellIs" dxfId="8" priority="1" operator="equal">
      <formula>"Green"</formula>
    </cfRule>
    <cfRule type="cellIs" dxfId="7" priority="2" operator="equal">
      <formula>"Amber"</formula>
    </cfRule>
    <cfRule type="cellIs" dxfId="6" priority="3" operator="equal">
      <formula>"Red"</formula>
    </cfRule>
  </conditionalFormatting>
  <dataValidations count="3">
    <dataValidation type="list" allowBlank="1" sqref="B4:B18" xr:uid="{00000000-0002-0000-0900-000000000000}">
      <formula1>"Not Started,In Progress,Completed"</formula1>
    </dataValidation>
    <dataValidation type="list" allowBlank="1" sqref="E4:E18" xr:uid="{00000000-0002-0000-0900-000002000000}">
      <formula1>"Quick active recall,Test key definitions,Practise examination questions,Review knowledge gaps,Practise calculations,Recall a case study,Test vocabulary,Practise a 16-mark question,Practise equations,Translate sentences"</formula1>
    </dataValidation>
    <dataValidation type="list" allowBlank="1" showInputMessage="1" showErrorMessage="1" sqref="C4:C1000" xr:uid="{0362C242-C101-4AD1-A169-21453B952650}">
      <formula1>"Green,Amber,Red"</formula1>
    </dataValidation>
  </dataValidations>
  <hyperlinks>
    <hyperlink ref="A2" location="'Dashboard'!A1" display="&lt; Return to Dashboard" xr:uid="{B8F5389E-0181-4A32-9345-3D8FE1B6DDCA}"/>
  </hyperlinks>
  <pageMargins left="0.75" right="0.75" top="1" bottom="1" header="0.5" footer="0.5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18"/>
  <sheetViews>
    <sheetView showGridLines="0" zoomScale="115" zoomScaleNormal="115" workbookViewId="0">
      <pane ySplit="3" topLeftCell="A4" activePane="bottomLeft" state="frozen"/>
      <selection pane="bottomLeft" activeCell="H9" sqref="H9"/>
    </sheetView>
  </sheetViews>
  <sheetFormatPr defaultRowHeight="15" x14ac:dyDescent="0.25"/>
  <cols>
    <col min="1" max="1" width="36" customWidth="1"/>
    <col min="2" max="3" width="14" customWidth="1"/>
    <col min="4" max="4" width="15" style="18" customWidth="1"/>
    <col min="5" max="5" width="38" customWidth="1"/>
    <col min="6" max="6" width="55.7109375" customWidth="1"/>
  </cols>
  <sheetData>
    <row r="1" spans="1:6" ht="32.1" customHeight="1" x14ac:dyDescent="0.25">
      <c r="A1" s="76" t="s">
        <v>130</v>
      </c>
      <c r="B1" s="66"/>
      <c r="C1" s="66"/>
      <c r="D1" s="66"/>
      <c r="E1" s="66"/>
    </row>
    <row r="2" spans="1:6" ht="18" customHeight="1" x14ac:dyDescent="0.25">
      <c r="A2" s="30" t="s">
        <v>42</v>
      </c>
    </row>
    <row r="3" spans="1:6" ht="26.1" customHeight="1" x14ac:dyDescent="0.25">
      <c r="A3" s="7" t="s">
        <v>43</v>
      </c>
      <c r="B3" s="7" t="s">
        <v>44</v>
      </c>
      <c r="C3" s="7" t="s">
        <v>45</v>
      </c>
      <c r="D3" s="17" t="s">
        <v>39</v>
      </c>
      <c r="E3" s="7" t="s">
        <v>46</v>
      </c>
      <c r="F3" s="32" t="s">
        <v>47</v>
      </c>
    </row>
    <row r="4" spans="1:6" ht="61.5" customHeight="1" x14ac:dyDescent="0.25">
      <c r="A4" s="31" t="s">
        <v>131</v>
      </c>
      <c r="B4" s="9"/>
      <c r="C4" s="9"/>
      <c r="D4" s="10"/>
      <c r="E4" s="33"/>
      <c r="F4" s="35"/>
    </row>
    <row r="5" spans="1:6" ht="70.5" customHeight="1" x14ac:dyDescent="0.25">
      <c r="A5" s="56" t="s">
        <v>132</v>
      </c>
      <c r="B5" s="9"/>
      <c r="C5" s="9"/>
      <c r="D5" s="10"/>
      <c r="E5" s="33"/>
      <c r="F5" s="35"/>
    </row>
    <row r="6" spans="1:6" ht="48.75" customHeight="1" x14ac:dyDescent="0.25">
      <c r="A6" s="56" t="s">
        <v>133</v>
      </c>
      <c r="B6" s="9"/>
      <c r="C6" s="9"/>
      <c r="D6" s="10"/>
      <c r="E6" s="33"/>
      <c r="F6" s="35"/>
    </row>
    <row r="7" spans="1:6" ht="96.75" customHeight="1" x14ac:dyDescent="0.25">
      <c r="A7" s="56" t="s">
        <v>134</v>
      </c>
      <c r="B7" s="9" t="s">
        <v>31</v>
      </c>
      <c r="C7" s="9" t="s">
        <v>32</v>
      </c>
      <c r="D7" s="10">
        <v>46315</v>
      </c>
      <c r="E7" s="33" t="s">
        <v>135</v>
      </c>
      <c r="F7" s="35"/>
    </row>
    <row r="8" spans="1:6" ht="120" customHeight="1" x14ac:dyDescent="0.25">
      <c r="A8" s="31" t="s">
        <v>136</v>
      </c>
      <c r="B8" s="9" t="s">
        <v>30</v>
      </c>
      <c r="C8" s="9" t="s">
        <v>37</v>
      </c>
      <c r="D8" s="10">
        <v>46318</v>
      </c>
      <c r="E8" s="33" t="s">
        <v>137</v>
      </c>
      <c r="F8" s="35"/>
    </row>
    <row r="9" spans="1:6" ht="90.75" customHeight="1" x14ac:dyDescent="0.25">
      <c r="A9" s="31" t="s">
        <v>138</v>
      </c>
      <c r="B9" s="9"/>
      <c r="C9" s="9"/>
      <c r="D9" s="10"/>
      <c r="E9" s="33"/>
      <c r="F9" s="35"/>
    </row>
    <row r="10" spans="1:6" ht="142.5" customHeight="1" x14ac:dyDescent="0.25">
      <c r="A10" s="31"/>
      <c r="B10" s="9"/>
      <c r="C10" s="9"/>
      <c r="D10" s="10"/>
      <c r="E10" s="33"/>
      <c r="F10" s="35"/>
    </row>
    <row r="11" spans="1:6" ht="43.5" customHeight="1" x14ac:dyDescent="0.25">
      <c r="A11" s="8"/>
      <c r="B11" s="9"/>
      <c r="C11" s="9"/>
      <c r="D11" s="10"/>
      <c r="E11" s="33"/>
      <c r="F11" s="35"/>
    </row>
    <row r="12" spans="1:6" ht="24" customHeight="1" x14ac:dyDescent="0.25">
      <c r="A12" s="8"/>
      <c r="B12" s="9"/>
      <c r="C12" s="9"/>
      <c r="D12" s="10"/>
      <c r="E12" s="33"/>
      <c r="F12" s="35"/>
    </row>
    <row r="13" spans="1:6" ht="24" customHeight="1" x14ac:dyDescent="0.25">
      <c r="A13" s="8"/>
      <c r="B13" s="9"/>
      <c r="C13" s="9"/>
      <c r="D13" s="10"/>
      <c r="E13" s="33"/>
      <c r="F13" s="35"/>
    </row>
    <row r="14" spans="1:6" ht="24" customHeight="1" x14ac:dyDescent="0.25">
      <c r="A14" s="8"/>
      <c r="B14" s="9"/>
      <c r="C14" s="9"/>
      <c r="D14" s="10"/>
      <c r="E14" s="33"/>
      <c r="F14" s="35"/>
    </row>
    <row r="15" spans="1:6" ht="24" customHeight="1" x14ac:dyDescent="0.25">
      <c r="A15" s="8"/>
      <c r="B15" s="9"/>
      <c r="C15" s="9"/>
      <c r="D15" s="10"/>
      <c r="E15" s="33"/>
      <c r="F15" s="35"/>
    </row>
    <row r="16" spans="1:6" ht="24" customHeight="1" x14ac:dyDescent="0.25">
      <c r="A16" s="8"/>
      <c r="B16" s="9"/>
      <c r="C16" s="9"/>
      <c r="D16" s="10"/>
      <c r="E16" s="33"/>
      <c r="F16" s="35"/>
    </row>
    <row r="17" spans="1:6" ht="24" customHeight="1" x14ac:dyDescent="0.25">
      <c r="A17" s="8"/>
      <c r="B17" s="9"/>
      <c r="C17" s="9"/>
      <c r="D17" s="10"/>
      <c r="E17" s="33"/>
      <c r="F17" s="35"/>
    </row>
    <row r="18" spans="1:6" ht="24" customHeight="1" x14ac:dyDescent="0.25">
      <c r="A18" s="8"/>
      <c r="B18" s="9"/>
      <c r="C18" s="9"/>
      <c r="D18" s="10"/>
      <c r="E18" s="33"/>
      <c r="F18" s="34"/>
    </row>
  </sheetData>
  <mergeCells count="1">
    <mergeCell ref="A1:E1"/>
  </mergeCells>
  <conditionalFormatting sqref="B4:B18">
    <cfRule type="cellIs" dxfId="5" priority="5" operator="equal">
      <formula>"Not Started"</formula>
    </cfRule>
    <cfRule type="cellIs" dxfId="4" priority="6" operator="equal">
      <formula>"In Progress"</formula>
    </cfRule>
    <cfRule type="cellIs" dxfId="3" priority="7" operator="equal">
      <formula>"Completed"</formula>
    </cfRule>
  </conditionalFormatting>
  <conditionalFormatting sqref="C4:C18">
    <cfRule type="cellIs" dxfId="2" priority="1" operator="equal">
      <formula>"Green"</formula>
    </cfRule>
    <cfRule type="cellIs" dxfId="1" priority="2" operator="equal">
      <formula>"Amber"</formula>
    </cfRule>
    <cfRule type="cellIs" dxfId="0" priority="3" operator="equal">
      <formula>"Red"</formula>
    </cfRule>
  </conditionalFormatting>
  <dataValidations count="3">
    <dataValidation type="list" allowBlank="1" sqref="B4:B18" xr:uid="{00000000-0002-0000-0A00-000000000000}">
      <formula1>"Not Started,In Progress,Completed"</formula1>
    </dataValidation>
    <dataValidation type="list" allowBlank="1" sqref="E4:E18" xr:uid="{00000000-0002-0000-0A00-000002000000}">
      <formula1>"Quick active recall,Test key definitions,Practise examination questions,Review knowledge gaps,Practise calculations,Recall a case study,Test vocabulary,Practise a 16-mark question,Practise equations,Translate sentences"</formula1>
    </dataValidation>
    <dataValidation type="list" allowBlank="1" showInputMessage="1" showErrorMessage="1" sqref="C4:C1000" xr:uid="{6C759799-FD58-478C-A3E1-2DA6CB9B7404}">
      <formula1>"Green,Amber,Red"</formula1>
    </dataValidation>
  </dataValidations>
  <hyperlinks>
    <hyperlink ref="A2" location="'Dashboard'!A1" display="&lt; Return to Dashboard" xr:uid="{CDB968D3-9478-4837-AD74-86FA9638F8B2}"/>
  </hyperlinks>
  <pageMargins left="0.75" right="0.75" top="1" bottom="1" header="0.5" footer="0.5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2:D12"/>
  <sheetViews>
    <sheetView showGridLines="0" workbookViewId="0">
      <selection activeCell="B9" sqref="B9"/>
    </sheetView>
  </sheetViews>
  <sheetFormatPr defaultRowHeight="15" x14ac:dyDescent="0.25"/>
  <cols>
    <col min="1" max="1" width="3" customWidth="1"/>
    <col min="2" max="2" width="22" customWidth="1"/>
    <col min="3" max="3" width="16" customWidth="1"/>
    <col min="4" max="4" width="3" customWidth="1"/>
  </cols>
  <sheetData>
    <row r="2" spans="2:4" ht="28.5" customHeight="1" x14ac:dyDescent="0.45">
      <c r="B2" s="79" t="s">
        <v>139</v>
      </c>
      <c r="C2" s="66"/>
      <c r="D2" s="66"/>
    </row>
    <row r="4" spans="2:4" ht="18.75" customHeight="1" x14ac:dyDescent="0.3">
      <c r="B4" s="65" t="s">
        <v>140</v>
      </c>
      <c r="C4" s="66"/>
      <c r="D4" s="66"/>
    </row>
    <row r="6" spans="2:4" ht="15.75" customHeight="1" x14ac:dyDescent="0.25">
      <c r="B6" s="11" t="s">
        <v>45</v>
      </c>
      <c r="C6" s="11" t="s">
        <v>141</v>
      </c>
    </row>
    <row r="7" spans="2:4" x14ac:dyDescent="0.25">
      <c r="B7" s="12" t="s">
        <v>33</v>
      </c>
      <c r="C7" s="3">
        <v>1</v>
      </c>
    </row>
    <row r="8" spans="2:4" x14ac:dyDescent="0.25">
      <c r="B8" s="13" t="s">
        <v>32</v>
      </c>
      <c r="C8" s="3">
        <v>3</v>
      </c>
    </row>
    <row r="9" spans="2:4" x14ac:dyDescent="0.25">
      <c r="B9" s="14" t="s">
        <v>37</v>
      </c>
      <c r="C9" s="3">
        <v>6</v>
      </c>
    </row>
    <row r="10" spans="2:4" x14ac:dyDescent="0.25">
      <c r="B10" s="15" t="s">
        <v>142</v>
      </c>
      <c r="C10" s="3" t="s">
        <v>143</v>
      </c>
    </row>
    <row r="12" spans="2:4" x14ac:dyDescent="0.25">
      <c r="B12" s="78" t="s">
        <v>144</v>
      </c>
      <c r="C12" s="66"/>
      <c r="D12" s="66"/>
    </row>
  </sheetData>
  <mergeCells count="3">
    <mergeCell ref="B12:D12"/>
    <mergeCell ref="B2:D2"/>
    <mergeCell ref="B4:D4"/>
  </mergeCells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0fb2ba46-83e9-4d91-a985-8245aaf43e5c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E3655B0D4A3F946B2B182A2452821C6" ma:contentTypeVersion="16" ma:contentTypeDescription="Create a new document." ma:contentTypeScope="" ma:versionID="7a9e24b6dc8563a5b2c5318cfdd77097">
  <xsd:schema xmlns:xsd="http://www.w3.org/2001/XMLSchema" xmlns:xs="http://www.w3.org/2001/XMLSchema" xmlns:p="http://schemas.microsoft.com/office/2006/metadata/properties" xmlns:ns3="0fb2ba46-83e9-4d91-a985-8245aaf43e5c" xmlns:ns4="ed8dfb7b-01af-4433-b4cc-631574050608" targetNamespace="http://schemas.microsoft.com/office/2006/metadata/properties" ma:root="true" ma:fieldsID="b443fa188f0c7e58c89b943786fc45fd" ns3:_="" ns4:_="">
    <xsd:import namespace="0fb2ba46-83e9-4d91-a985-8245aaf43e5c"/>
    <xsd:import namespace="ed8dfb7b-01af-4433-b4cc-631574050608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4:SharedWithUsers" minOccurs="0"/>
                <xsd:element ref="ns4:SharedWithDetails" minOccurs="0"/>
                <xsd:element ref="ns4:SharingHintHash" minOccurs="0"/>
                <xsd:element ref="ns3:_activity" minOccurs="0"/>
                <xsd:element ref="ns3:MediaServiceObjectDetectorVersions" minOccurs="0"/>
                <xsd:element ref="ns3:MediaServiceSystemTags" minOccurs="0"/>
                <xsd:element ref="ns3:MediaServiceSearchProperties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fb2ba46-83e9-4d91-a985-8245aaf43e5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9" nillable="true" ma:displayName="_activity" ma:hidden="true" ma:internalName="_activity">
      <xsd:simpleType>
        <xsd:restriction base="dms:Note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21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3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d8dfb7b-01af-4433-b4cc-631574050608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8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83C6A1E-EF8C-4F8F-AF56-34A608ED7025}">
  <ds:schemaRefs>
    <ds:schemaRef ds:uri="http://schemas.microsoft.com/office/2006/metadata/properties"/>
    <ds:schemaRef ds:uri="http://purl.org/dc/terms/"/>
    <ds:schemaRef ds:uri="http://purl.org/dc/elements/1.1/"/>
    <ds:schemaRef ds:uri="0fb2ba46-83e9-4d91-a985-8245aaf43e5c"/>
    <ds:schemaRef ds:uri="http://schemas.microsoft.com/office/2006/documentManagement/types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ed8dfb7b-01af-4433-b4cc-631574050608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1A9169F2-DC6F-440D-AA51-2EA02192DC4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A2D1D04-17F3-4DB1-A413-D2712C8E335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fb2ba46-83e9-4d91-a985-8245aaf43e5c"/>
    <ds:schemaRef ds:uri="ed8dfb7b-01af-4433-b4cc-63157405060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1</vt:i4>
      </vt:variant>
    </vt:vector>
  </HeadingPairs>
  <TitlesOfParts>
    <vt:vector size="14" baseType="lpstr">
      <vt:lpstr>Revision Timetable</vt:lpstr>
      <vt:lpstr>Dashboard</vt:lpstr>
      <vt:lpstr>Biology</vt:lpstr>
      <vt:lpstr>Chemistry</vt:lpstr>
      <vt:lpstr>Physics</vt:lpstr>
      <vt:lpstr>Mathematics</vt:lpstr>
      <vt:lpstr>English Language</vt:lpstr>
      <vt:lpstr>English Literature</vt:lpstr>
      <vt:lpstr>Geography</vt:lpstr>
      <vt:lpstr>History</vt:lpstr>
      <vt:lpstr>Spanish</vt:lpstr>
      <vt:lpstr>Computer Science</vt:lpstr>
      <vt:lpstr>Settings</vt:lpstr>
      <vt:lpstr>Subjects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Chinedu Chile</cp:lastModifiedBy>
  <cp:revision/>
  <dcterms:created xsi:type="dcterms:W3CDTF">2026-10-11T11:12:22Z</dcterms:created>
  <dcterms:modified xsi:type="dcterms:W3CDTF">2026-10-24T17:59:39Z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0x0101006E3655B0D4A3F946B2B182A2452821C6</vt:lpwstr>
  </property>
</Properties>
</file>
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948b5d172b360b34/Python Stuff/revision tracker/"/>
    </mc:Choice>
  </mc:AlternateContent>
  <xr:revisionPtr revIDLastSave="1872" documentId="8_{1E299D6C-A0CB-477B-8398-5EE539A6181E}" xr6:coauthVersionLast="47" xr6:coauthVersionMax="47" xr10:uidLastSave="{8B585214-C7B8-4A0D-B24B-FCFE17CEE829}"/>
  <bookViews>
    <workbookView minimized="1" xWindow="1515" yWindow="1515" windowWidth="21600" windowHeight="11565" firstSheet="2" activeTab="3" xr2:uid="{00000000-000D-0000-FFFF-FFFF00000000}"/>
  </bookViews>
  <sheets>
    <sheet name="Revision Timetable" sheetId="13" r:id="rId1"/>
    <sheet name="Dashboard" sheetId="1" r:id="rId2"/>
    <sheet name="Biology" sheetId="2" r:id="rId3"/>
    <sheet name="Chemistry" sheetId="3" r:id="rId4"/>
    <sheet name="Physics" sheetId="4" r:id="rId5"/>
    <sheet name="Mathematics" sheetId="5" r:id="rId6"/>
    <sheet name="English Language" sheetId="6" r:id="rId7"/>
    <sheet name="English Literature" sheetId="7" r:id="rId8"/>
    <sheet name="Geography" sheetId="8" r:id="rId9"/>
    <sheet name="History" sheetId="9" r:id="rId10"/>
    <sheet name="Spanish" sheetId="10" r:id="rId11"/>
    <sheet name="Computer Science" sheetId="11" r:id="rId12"/>
    <sheet name="Settings" sheetId="12" r:id="rId13"/>
  </sheets>
  <definedNames>
    <definedName name="Subjects">Dashboard!$M$2:$M$11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1" l="1"/>
  <c r="I23" i="1"/>
  <c r="I22" i="1"/>
  <c r="I21" i="1"/>
  <c r="I20" i="1"/>
  <c r="I19" i="1"/>
  <c r="I18" i="1"/>
  <c r="I17" i="1"/>
  <c r="I16" i="1"/>
  <c r="I14" i="1"/>
  <c r="H23" i="1"/>
  <c r="G23" i="1"/>
  <c r="F23" i="1"/>
  <c r="E23" i="1"/>
  <c r="D23" i="1"/>
  <c r="B23" i="1"/>
  <c r="C23" i="1" s="1"/>
  <c r="H22" i="1"/>
  <c r="G22" i="1"/>
  <c r="F22" i="1"/>
  <c r="E22" i="1"/>
  <c r="D22" i="1"/>
  <c r="B22" i="1"/>
  <c r="C22" i="1" s="1"/>
  <c r="H21" i="1"/>
  <c r="G21" i="1"/>
  <c r="F21" i="1"/>
  <c r="E21" i="1"/>
  <c r="D21" i="1"/>
  <c r="B21" i="1"/>
  <c r="C21" i="1" s="1"/>
  <c r="H20" i="1"/>
  <c r="G20" i="1"/>
  <c r="F20" i="1"/>
  <c r="E20" i="1"/>
  <c r="D20" i="1"/>
  <c r="B20" i="1"/>
  <c r="C20" i="1" s="1"/>
  <c r="H19" i="1"/>
  <c r="G19" i="1"/>
  <c r="F19" i="1"/>
  <c r="E19" i="1"/>
  <c r="D19" i="1"/>
  <c r="B19" i="1"/>
  <c r="C19" i="1" s="1"/>
  <c r="H18" i="1"/>
  <c r="G18" i="1"/>
  <c r="F18" i="1"/>
  <c r="E18" i="1"/>
  <c r="D18" i="1"/>
  <c r="B18" i="1"/>
  <c r="C18" i="1" s="1"/>
  <c r="H17" i="1"/>
  <c r="G17" i="1"/>
  <c r="F17" i="1"/>
  <c r="E17" i="1"/>
  <c r="D17" i="1"/>
  <c r="B17" i="1"/>
  <c r="C17" i="1" s="1"/>
  <c r="H16" i="1"/>
  <c r="G16" i="1"/>
  <c r="F16" i="1"/>
  <c r="E16" i="1"/>
  <c r="D16" i="1"/>
  <c r="B16" i="1"/>
  <c r="C16" i="1" s="1"/>
  <c r="H15" i="1"/>
  <c r="G15" i="1"/>
  <c r="F15" i="1"/>
  <c r="E15" i="1"/>
  <c r="D15" i="1"/>
  <c r="B15" i="1"/>
  <c r="C15" i="1" s="1"/>
  <c r="H14" i="1"/>
  <c r="G14" i="1"/>
  <c r="F14" i="1"/>
  <c r="E14" i="1"/>
  <c r="D14" i="1"/>
  <c r="B14" i="1"/>
  <c r="C14" i="1" s="1"/>
  <c r="C9" i="1"/>
  <c r="A9" i="1"/>
  <c r="G6" i="1"/>
  <c r="E6" i="1"/>
  <c r="A6" i="1"/>
  <c r="C6" i="1" s="1"/>
</calcChain>
</file>

<file path=xl/sharedStrings.xml><?xml version="1.0" encoding="utf-8"?>
<sst xmlns="http://schemas.openxmlformats.org/spreadsheetml/2006/main" count="242" uniqueCount="131">
  <si>
    <t xml:space="preserve">  GCSE Revision Tracker — Dashboard</t>
  </si>
  <si>
    <t>Subject list (helper)</t>
  </si>
  <si>
    <t>Biology</t>
  </si>
  <si>
    <t>📊  Overall Progress</t>
  </si>
  <si>
    <t>Chemistry</t>
  </si>
  <si>
    <t>Physics</t>
  </si>
  <si>
    <t>Total topics</t>
  </si>
  <si>
    <t>Not Started</t>
  </si>
  <si>
    <t>In Progress</t>
  </si>
  <si>
    <t>Completed</t>
  </si>
  <si>
    <t>Mathematics</t>
  </si>
  <si>
    <t>English Language</t>
  </si>
  <si>
    <t>English Literature</t>
  </si>
  <si>
    <t>Amber</t>
  </si>
  <si>
    <t>Red</t>
  </si>
  <si>
    <t>Geography</t>
  </si>
  <si>
    <t>History</t>
  </si>
  <si>
    <t>Spanish</t>
  </si>
  <si>
    <t>Computer Science</t>
  </si>
  <si>
    <t>📚  Progress by Subject</t>
  </si>
  <si>
    <t>Subject</t>
  </si>
  <si>
    <t>Total Topics</t>
  </si>
  <si>
    <t>Green</t>
  </si>
  <si>
    <t>Last Revised</t>
  </si>
  <si>
    <t>🧭  How to choose what to revise</t>
  </si>
  <si>
    <t>•  Slots 1–3 of the day: your timetable tells you the subject. Open that subject tab and pick the topic.</t>
  </si>
  <si>
    <t>•  Slot 4 (maintenance): use this Dashboard. Pick 3 subjects with Red/Amber/overdue topics, 15 min each.</t>
  </si>
  <si>
    <t>•  Anything overdue? Do those first.  Then Red.  Then Amber.  Then oldest Last Revised.</t>
  </si>
  <si>
    <t>•  A subject with lots of Red or Overdue = focus there. A subject with lots of Green = leave it longer.</t>
  </si>
  <si>
    <t xml:space="preserve">  Biology</t>
  </si>
  <si>
    <t>&lt; Return to Dashboard</t>
  </si>
  <si>
    <t>Topic</t>
  </si>
  <si>
    <t>Status</t>
  </si>
  <si>
    <t>Confidence</t>
  </si>
  <si>
    <t>Next Action</t>
  </si>
  <si>
    <r>
      <rPr>
        <b/>
        <sz val="11"/>
        <color theme="1"/>
        <rFont val="Calibri"/>
        <family val="2"/>
        <scheme val="minor"/>
      </rPr>
      <t>Group 1</t>
    </r>
    <r>
      <rPr>
        <sz val="11"/>
        <color theme="1"/>
        <rFont val="Calibri"/>
        <family val="2"/>
        <scheme val="minor"/>
      </rPr>
      <t>:
Characteristics of living organisms
Levels of organisation
Cell structure
Variety of living organisms</t>
    </r>
  </si>
  <si>
    <t>Alright we are done. First Bit of bio revision done :)</t>
  </si>
  <si>
    <r>
      <rPr>
        <b/>
        <sz val="11"/>
        <color rgb="FF000000"/>
        <rFont val="Calibri"/>
        <scheme val="minor"/>
      </rPr>
      <t xml:space="preserve">Group 2:
</t>
    </r>
    <r>
      <rPr>
        <sz val="11"/>
        <color rgb="FF000000"/>
        <rFont val="Calibri"/>
        <scheme val="minor"/>
      </rPr>
      <t>Movements of molecules
Biological molecules
Movement of substances</t>
    </r>
  </si>
  <si>
    <t>Chill session. Its all in the long term knowledge</t>
  </si>
  <si>
    <r>
      <rPr>
        <b/>
        <sz val="11"/>
        <color theme="1"/>
        <rFont val="Calibri"/>
        <family val="2"/>
        <scheme val="minor"/>
      </rPr>
      <t>Group 3:</t>
    </r>
    <r>
      <rPr>
        <sz val="11"/>
        <color theme="1"/>
        <rFont val="Calibri"/>
        <family val="2"/>
        <scheme val="minor"/>
      </rPr>
      <t xml:space="preserve">
Transport in plants
Nutrition in plants
Gas exchange in plants
Reproduction in plants</t>
    </r>
  </si>
  <si>
    <r>
      <rPr>
        <b/>
        <sz val="11"/>
        <color theme="1"/>
        <rFont val="Calibri"/>
        <family val="2"/>
        <scheme val="minor"/>
      </rPr>
      <t>Group 4:</t>
    </r>
    <r>
      <rPr>
        <sz val="11"/>
        <color theme="1"/>
        <rFont val="Calibri"/>
        <family val="2"/>
        <scheme val="minor"/>
      </rPr>
      <t xml:space="preserve">
Respiration
Gas exchange in humans</t>
    </r>
  </si>
  <si>
    <r>
      <rPr>
        <b/>
        <sz val="11"/>
        <color theme="1"/>
        <rFont val="Calibri"/>
        <family val="2"/>
        <scheme val="minor"/>
      </rPr>
      <t>Group 5</t>
    </r>
    <r>
      <rPr>
        <sz val="11"/>
        <color theme="1"/>
        <rFont val="Calibri"/>
        <family val="2"/>
        <scheme val="minor"/>
      </rPr>
      <t>:
Excretion
Human Reproduction</t>
    </r>
  </si>
  <si>
    <r>
      <rPr>
        <b/>
        <sz val="11"/>
        <color theme="1"/>
        <rFont val="Calibri"/>
        <family val="2"/>
        <scheme val="minor"/>
      </rPr>
      <t>Group 6:</t>
    </r>
    <r>
      <rPr>
        <sz val="11"/>
        <color theme="1"/>
        <rFont val="Calibri"/>
        <family val="2"/>
        <scheme val="minor"/>
      </rPr>
      <t xml:space="preserve">
Co-ordination and response
Transport in Humans
Nutrition in humans</t>
    </r>
  </si>
  <si>
    <r>
      <rPr>
        <b/>
        <sz val="11"/>
        <color theme="1"/>
        <rFont val="Calibri"/>
        <family val="2"/>
        <scheme val="minor"/>
      </rPr>
      <t xml:space="preserve">Group 7: </t>
    </r>
    <r>
      <rPr>
        <sz val="11"/>
        <color theme="1"/>
        <rFont val="Calibri"/>
        <family val="2"/>
        <scheme val="minor"/>
      </rPr>
      <t xml:space="preserve">
Inheritance
</t>
    </r>
  </si>
  <si>
    <r>
      <rPr>
        <b/>
        <sz val="11"/>
        <color theme="1"/>
        <rFont val="Calibri"/>
        <family val="2"/>
        <scheme val="minor"/>
      </rPr>
      <t xml:space="preserve">Group 8: </t>
    </r>
    <r>
      <rPr>
        <sz val="11"/>
        <color theme="1"/>
        <rFont val="Calibri"/>
        <family val="2"/>
        <scheme val="minor"/>
      </rPr>
      <t xml:space="preserve">
Organisms in the environment
Human Influences
Feeding relationships
Cycles within ecosystems</t>
    </r>
  </si>
  <si>
    <t xml:space="preserve">  Chemistry</t>
  </si>
  <si>
    <t>Principals of Chemistry  1a - 1e</t>
  </si>
  <si>
    <t>Complete</t>
  </si>
  <si>
    <t>Bonding  1f - 1h</t>
  </si>
  <si>
    <t>1. Quick chatgpt go over on ionic, covalent and metallic bonding
2. Do a ionic bonding PMT paper
3. Do a covalent bonding PMT paper</t>
  </si>
  <si>
    <t>Inorganic Chem part 1 - 1a - 1d</t>
  </si>
  <si>
    <t>Inorganic Chem part 2 - 1e - 1g</t>
  </si>
  <si>
    <t>Energetics</t>
  </si>
  <si>
    <t>Rates of Reaction</t>
  </si>
  <si>
    <t>Reversible reaction and equilbria</t>
  </si>
  <si>
    <t xml:space="preserve">y10 Organics </t>
  </si>
  <si>
    <t>y11 Organics</t>
  </si>
  <si>
    <t>Full Mock Past Papers</t>
  </si>
  <si>
    <t xml:space="preserve">  Physics</t>
  </si>
  <si>
    <t>9.1 Measuring waves + 10.1 Properties of waves &amp; EM Spectrum</t>
  </si>
  <si>
    <t>When doing a review session just do a little chatgpt quiz to finish up the rest of this topic.</t>
  </si>
  <si>
    <t>9.2 Electrostatics and electrical current</t>
  </si>
  <si>
    <t>9.3 Mains electricity + 10.4 Electrical circuits</t>
  </si>
  <si>
    <t>9.4 Astronomy</t>
  </si>
  <si>
    <t>9.5 Measuring motion + 10.3 Unbalanced forces and acceleration</t>
  </si>
  <si>
    <t>9.6 Magnetism and electromagnets + 10.6 Electromagnetism</t>
  </si>
  <si>
    <t>9.7 Energy types and energy resources + 10.2 Energy transfer, work and power</t>
  </si>
  <si>
    <t>9.8 Density and pressure + 10.5 Pressure in Liquids and Ideal Gases</t>
  </si>
  <si>
    <t>10.7 Thermal energy and Change of State</t>
  </si>
  <si>
    <t>11.1 Radioactivity</t>
  </si>
  <si>
    <t>11.2 Forces, Momentum &amp; Moments</t>
  </si>
  <si>
    <t xml:space="preserve">  Mathematics</t>
  </si>
  <si>
    <t>Do Lots of Past Papers</t>
  </si>
  <si>
    <t>Do the reasoning and problem solving question papers on firefly</t>
  </si>
  <si>
    <t xml:space="preserve">  English Language</t>
  </si>
  <si>
    <r>
      <rPr>
        <b/>
        <sz val="11"/>
        <color rgb="FF000000"/>
        <rFont val="Calibri"/>
        <scheme val="minor"/>
      </rPr>
      <t>Between A Rock &amp; Hard Place</t>
    </r>
    <r>
      <rPr>
        <sz val="11"/>
        <color rgb="FF000000"/>
        <rFont val="Calibri"/>
        <scheme val="minor"/>
      </rPr>
      <t xml:space="preserve"> Annotation and practise questions</t>
    </r>
  </si>
  <si>
    <t>1. Do a couple of questions for each anthology
2. Do a past language paper on firefly. Go to the english page then go to paper 1 overviews</t>
  </si>
  <si>
    <t>Transactional Writing Practise: Magazine article</t>
  </si>
  <si>
    <r>
      <rPr>
        <b/>
        <sz val="11"/>
        <color theme="1"/>
        <rFont val="Calibri"/>
        <family val="2"/>
        <scheme val="minor"/>
      </rPr>
      <t>Bhutan: Beyond the sky &amp; earth</t>
    </r>
    <r>
      <rPr>
        <sz val="11"/>
        <color theme="1"/>
        <rFont val="Calibri"/>
        <family val="2"/>
        <scheme val="minor"/>
      </rPr>
      <t xml:space="preserve"> Annotation and practise questions</t>
    </r>
  </si>
  <si>
    <t>Man this was not easy. Try use chatgpt to show you how to answer these questions and then try to actually get better answers. Complete 1 question from each section then move onto a new topic. Man this ain't easy.</t>
  </si>
  <si>
    <r>
      <rPr>
        <b/>
        <sz val="11"/>
        <color theme="1"/>
        <rFont val="Calibri"/>
        <family val="2"/>
        <scheme val="minor"/>
      </rPr>
      <t>The Danger of a single story</t>
    </r>
    <r>
      <rPr>
        <sz val="11"/>
        <color theme="1"/>
        <rFont val="Calibri"/>
        <family val="2"/>
        <scheme val="minor"/>
      </rPr>
      <t xml:space="preserve"> annotation and practise questions</t>
    </r>
  </si>
  <si>
    <r>
      <rPr>
        <b/>
        <sz val="11"/>
        <color theme="1"/>
        <rFont val="Calibri"/>
        <family val="2"/>
        <scheme val="minor"/>
      </rPr>
      <t>Young and dyslexic</t>
    </r>
    <r>
      <rPr>
        <sz val="11"/>
        <color theme="1"/>
        <rFont val="Calibri"/>
        <family val="2"/>
        <scheme val="minor"/>
      </rPr>
      <t xml:space="preserve"> and annotation and practise questions</t>
    </r>
  </si>
  <si>
    <r>
      <rPr>
        <b/>
        <sz val="11"/>
        <color rgb="FF000000"/>
        <rFont val="Calibri"/>
        <family val="2"/>
        <scheme val="minor"/>
      </rPr>
      <t xml:space="preserve">Explorers, or boys messing about: </t>
    </r>
    <r>
      <rPr>
        <sz val="11"/>
        <color rgb="FF000000"/>
        <rFont val="Calibri"/>
        <family val="2"/>
        <scheme val="minor"/>
      </rPr>
      <t xml:space="preserve"> annotation and practise questions</t>
    </r>
  </si>
  <si>
    <r>
      <rPr>
        <b/>
        <sz val="11"/>
        <color theme="1"/>
        <rFont val="Calibri"/>
        <family val="2"/>
        <scheme val="minor"/>
      </rPr>
      <t>You've got it going on</t>
    </r>
    <r>
      <rPr>
        <sz val="11"/>
        <color theme="1"/>
        <rFont val="Calibri"/>
        <family val="2"/>
        <scheme val="minor"/>
      </rPr>
      <t>: annotation and practise questions</t>
    </r>
  </si>
  <si>
    <t>Transactional Writing Practise: Guide</t>
  </si>
  <si>
    <t>Transactional Writing Practise: Letter</t>
  </si>
  <si>
    <t>Transactional Writing Practise: Leaflet text</t>
  </si>
  <si>
    <t xml:space="preserve">  English Literature</t>
  </si>
  <si>
    <t>Quotations and meaning for VFAB Characters - Eddie, Alfieri, Catherine, Rodolfo</t>
  </si>
  <si>
    <t>VFAB - Themes:  
1. Different views of loyalty and honour
2. Different views of justice
3. Transition and change</t>
  </si>
  <si>
    <t>Very tough and bad session. Next time just get this section finished. use chatgpt to teach you anything man. We have to do something different cuz it was really hard. Chatgpt is going to have to save me</t>
  </si>
  <si>
    <t>Practise planning and writing essays for VFAB</t>
  </si>
  <si>
    <t>Quotations and meaning for Romeo &amp; Juliet characters - Eddie, Alfieri, Catherine, Rodolfo</t>
  </si>
  <si>
    <t>Romeo and Juliet: Revise themes:
 ❤️ Love and romance
👑 Power and control
🕊️ Hope and forgiveness</t>
  </si>
  <si>
    <t>Practise planning and writing essays for R&amp;J</t>
  </si>
  <si>
    <t xml:space="preserve">  Geography</t>
  </si>
  <si>
    <t>Hazards</t>
  </si>
  <si>
    <t>Your doing this next :)</t>
  </si>
  <si>
    <t>Economic Activity &amp; energy</t>
  </si>
  <si>
    <t>Coasts</t>
  </si>
  <si>
    <t>Coastal Fieldwork</t>
  </si>
  <si>
    <t>Urban Environments</t>
  </si>
  <si>
    <t xml:space="preserve">This section is done. Next time you revise practise 8 markers and also do flashcards if possible. </t>
  </si>
  <si>
    <t xml:space="preserve">  History</t>
  </si>
  <si>
    <t>America 1918 - 1941</t>
  </si>
  <si>
    <t>1. Do that 16 marker i didn't do last time
2. read up on the whole of Section 3
3. If time start doing the 6,8,16 mark questions on that section (I highly doubt you will get to this tho you will probably do it next session)</t>
  </si>
  <si>
    <t>US Civil Rights</t>
  </si>
  <si>
    <t>History of Medicine</t>
  </si>
  <si>
    <t xml:space="preserve">  Spanish</t>
  </si>
  <si>
    <t>Do reading papers</t>
  </si>
  <si>
    <t xml:space="preserve">Next session do this (should be a chill session):
1. revise all tenses on thisisschool/conjugemos
2. Keep on going with the reading paper, putting words you don't know in the quizlet
3. In the last 10 mins do the quizlet. </t>
  </si>
  <si>
    <t>Do writing papers</t>
  </si>
  <si>
    <t>Do listening papers</t>
  </si>
  <si>
    <t>practise for oral</t>
  </si>
  <si>
    <t xml:space="preserve">  Computer Science</t>
  </si>
  <si>
    <t>1.1 - Systems Architecture</t>
  </si>
  <si>
    <t>1.2 - Memory and storage</t>
  </si>
  <si>
    <t xml:space="preserve">1.3 - Computer networks, connections and protocols </t>
  </si>
  <si>
    <t>1.4 - Network security</t>
  </si>
  <si>
    <t>1.5 - Systems software</t>
  </si>
  <si>
    <t>1.6 - Ethical, legal, cultural and environmental impacts of digital technology</t>
  </si>
  <si>
    <t>Okay so this topic isn't perfect so we're gonna have to come back to it in some time but i need to look at section 2.1 and 2.2 in the meanwhile tho.</t>
  </si>
  <si>
    <t>2.1 - Algorithms</t>
  </si>
  <si>
    <t>2.2 - Programming fundamentals</t>
  </si>
  <si>
    <t>⚙  Settings</t>
  </si>
  <si>
    <t>Review intervals — how many days until a topic comes back</t>
  </si>
  <si>
    <t>Interval (days)</t>
  </si>
  <si>
    <t>Not Assessed</t>
  </si>
  <si>
    <t>—</t>
  </si>
  <si>
    <t>Edit the interval numbers in column C to change how often topics come back.</t>
  </si>
  <si>
    <t>General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</si>
</sst>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6" x14ac:knownFonts="1">
    <font>
      <sz val="11"/>
      <color theme="1"/>
      <name val="Calibri"/>
      <family val="2"/>
      <scheme val="minor"/>
    </font>
    <font>
      <b/>
      <sz val="22"/>
      <color rgb="FF1F3864"/>
      <name val="Calibri"/>
    </font>
    <font>
      <b/>
      <sz val="14"/>
      <color rgb="FF1F3864"/>
      <name val="Calibri"/>
    </font>
    <font>
      <b/>
      <sz val="12"/>
      <color rgb="FFFFFFFF"/>
      <name val="Calibri"/>
    </font>
    <font>
      <b/>
      <sz val="11"/>
      <name val="Calibri"/>
    </font>
    <font>
      <i/>
      <sz val="10"/>
      <color rgb="FF555555"/>
      <name val="Calibri"/>
    </font>
    <font>
      <b/>
      <sz val="18"/>
      <color rgb="FFFFFFFF"/>
      <name val="Calibri"/>
    </font>
    <font>
      <b/>
      <sz val="22"/>
      <color rgb="FFFFFFFF"/>
      <name val="Calibri"/>
    </font>
    <font>
      <b/>
      <sz val="11"/>
      <color rgb="FF333333"/>
      <name val="Calibri"/>
    </font>
    <font>
      <b/>
      <sz val="20"/>
      <color rgb="FF1F3864"/>
      <name val="Calibri"/>
    </font>
    <font>
      <sz val="11"/>
      <color rgb="FF333333"/>
      <name val="Calibri"/>
    </font>
    <font>
      <sz val="11"/>
      <name val="Segoe UI"/>
      <family val="2"/>
    </font>
    <font>
      <b/>
      <sz val="18"/>
      <color rgb="FFFFFFFF"/>
      <name val="Calibri"/>
      <family val="2"/>
    </font>
    <font>
      <b/>
      <sz val="11"/>
      <color theme="1"/>
      <name val="Calibri"/>
      <family val="2"/>
      <scheme val="minor"/>
    </font>
    <font>
      <sz val="11"/>
      <color rgb="FF000000"/>
      <name val="Calibri"/>
      <family val="2"/>
      <scheme val="minor"/>
    </font>
    <font>
      <b/>
      <sz val="11"/>
      <color rgb="FF000000"/>
      <name val="Calibri"/>
      <family val="2"/>
      <scheme val="minor"/>
    </font>
    <font>
      <u/>
      <sz val="11"/>
      <color theme="10"/>
      <name val="Calibri"/>
      <family val="2"/>
      <scheme val="minor"/>
    </font>
    <font>
      <b/>
      <sz val="11"/>
      <color rgb="FF3B3B3B"/>
      <name val="Calibri"/>
      <family val="2"/>
      <scheme val="minor"/>
    </font>
    <font>
      <sz val="11"/>
      <color theme="0"/>
      <name val="Calibri"/>
      <family val="2"/>
      <scheme val="minor"/>
    </font>
    <font>
      <b/>
      <sz val="12"/>
      <color rgb="FF000000"/>
      <name val="Calibri"/>
      <family val="2"/>
    </font>
    <font>
      <b/>
      <sz val="12"/>
      <color rgb="FF000000"/>
      <name val="Calibri"/>
      <family val="2"/>
      <scheme val="minor"/>
    </font>
    <font>
      <i/>
      <sz val="10"/>
      <color rgb="FFDC3232"/>
      <name val="Calibri"/>
      <family val="2"/>
      <scheme val="minor"/>
    </font>
    <font>
      <i/>
      <sz val="10"/>
      <color rgb="FFDC3232"/>
      <name val="Calibri"/>
      <scheme val="minor"/>
    </font>
    <font>
      <b/>
      <sz val="11"/>
      <color rgb="FF000000"/>
      <name val="Calibri"/>
      <scheme val="minor"/>
    </font>
    <font>
      <sz val="11"/>
      <color rgb="FF000000"/>
      <name val="Calibri"/>
      <scheme val="minor"/>
    </font>
    <font>
      <b/>
      <sz val="11"/>
      <color rgb="FFFFFFFF"/>
      <name val="Calibri"/>
      <family val="2"/>
      <scheme val="minor"/>
    </font>
  </fonts>
  <fills count="15">
    <fill>
      <patternFill patternType="none"/>
    </fill>
    <fill>
      <patternFill patternType="gray125"/>
    </fill>
    <fill>
      <patternFill patternType="solid">
        <fgColor rgb="FF1F3864"/>
      </patternFill>
    </fill>
    <fill>
      <patternFill patternType="solid">
        <fgColor rgb="FFF8B6B6"/>
      </patternFill>
    </fill>
    <fill>
      <patternFill patternType="solid">
        <fgColor rgb="FFFFE699"/>
      </patternFill>
    </fill>
    <fill>
      <patternFill patternType="solid">
        <fgColor rgb="FFC6EFCE"/>
      </patternFill>
    </fill>
    <fill>
      <patternFill patternType="solid">
        <fgColor rgb="FFE7E6E6"/>
      </patternFill>
    </fill>
    <fill>
      <patternFill patternType="solid">
        <fgColor rgb="FF2E75B6"/>
      </patternFill>
    </fill>
    <fill>
      <patternFill patternType="solid">
        <fgColor rgb="FFF2F6FB"/>
      </patternFill>
    </fill>
    <fill>
      <patternFill patternType="solid">
        <fgColor rgb="FFCFE2F3"/>
      </patternFill>
    </fill>
    <fill>
      <patternFill patternType="solid">
        <fgColor rgb="FFF9F9F9"/>
        <bgColor indexed="64"/>
      </patternFill>
    </fill>
    <fill>
      <patternFill patternType="solid">
        <fgColor rgb="FFFFFFFF"/>
        <bgColor indexed="64"/>
      </patternFill>
    </fill>
    <fill>
      <patternFill patternType="solid">
        <fgColor theme="8"/>
      </patternFill>
    </fill>
    <fill>
      <patternFill patternType="solid">
        <fgColor rgb="FFCFE2F3"/>
        <bgColor indexed="64"/>
      </patternFill>
    </fill>
    <fill>
      <patternFill patternType="solid">
        <fgColor rgb="FF1F4E78"/>
        <bgColor indexed="64"/>
      </patternFill>
    </fill>
  </fills>
  <borders count="8">
    <border>
      <left/>
      <right/>
      <top/>
      <bottom/>
      <diagonal/>
    </border>
    <border>
      <left style="thin">
        <color rgb="FFBFD4EA"/>
      </left>
      <right style="thin">
        <color rgb="FFBFD4EA"/>
      </right>
      <top style="thin">
        <color rgb="FFBFD4EA"/>
      </top>
      <bottom style="medium">
        <color rgb="FF1F3864"/>
      </bottom>
      <diagonal/>
    </border>
    <border>
      <left/>
      <right style="thin">
        <color rgb="FFBFD4EA"/>
      </right>
      <top style="thin">
        <color rgb="FFBFD4EA"/>
      </top>
      <bottom style="medium">
        <color rgb="FF1F3864"/>
      </bottom>
      <diagonal/>
    </border>
    <border>
      <left style="thin">
        <color rgb="FFBFD4EA"/>
      </left>
      <right style="thin">
        <color rgb="FFBFD4EA"/>
      </right>
      <top style="thin">
        <color rgb="FFBFD4EA"/>
      </top>
      <bottom style="thin">
        <color rgb="FFBFD4EA"/>
      </bottom>
      <diagonal/>
    </border>
    <border>
      <left style="thin">
        <color rgb="FFDCDCDC"/>
      </left>
      <right style="thin">
        <color rgb="FFDCDCDC"/>
      </right>
      <top style="thin">
        <color rgb="FFDCDCDC"/>
      </top>
      <bottom style="thin">
        <color rgb="FFDCDCDC"/>
      </bottom>
      <diagonal/>
    </border>
    <border>
      <left style="thin">
        <color rgb="FFBFD4EA"/>
      </left>
      <right/>
      <top style="thin">
        <color rgb="FFBFD4EA"/>
      </top>
      <bottom style="thin">
        <color rgb="FFBFD4EA"/>
      </bottom>
      <diagonal/>
    </border>
    <border>
      <left style="thin">
        <color rgb="FFBDD7EE"/>
      </left>
      <right style="thin">
        <color rgb="FFBDD7EE"/>
      </right>
      <top style="thin">
        <color rgb="FFBDD7EE"/>
      </top>
      <bottom style="thin">
        <color rgb="FFBDD7EE"/>
      </bottom>
      <diagonal/>
    </border>
    <border>
      <left style="thin">
        <color rgb="FFBDD7EE"/>
      </left>
      <right style="thin">
        <color rgb="FFBDD7EE"/>
      </right>
      <top style="thin">
        <color rgb="FFBDD7EE"/>
      </top>
      <bottom/>
      <diagonal/>
    </border>
  </borders>
  <cellStyleXfs count="3">
    <xf numFmtId="0" fontId="0" fillId="0" borderId="0"/>
    <xf numFmtId="0" fontId="16" fillId="0" borderId="0" applyNumberFormat="0" applyFill="0" applyBorder="0" applyAlignment="0" applyProtection="0"/>
    <xf numFmtId="0" fontId="18" fillId="12" borderId="0" applyNumberFormat="0" applyBorder="0" applyAlignment="0" applyProtection="0"/>
  </cellStyleXfs>
  <cellXfs count="58">
    <xf numFmtId="0" fontId="0" fillId="0" borderId="0" xfId="0"/>
    <xf numFmtId="0" fontId="0" fillId="0" borderId="0" xfId="0" applyAlignment="1">
      <alignment wrapText="1"/>
    </xf>
    <xf numFmtId="0" fontId="0" fillId="0" borderId="3" xfId="0" applyBorder="1" applyAlignment="1">
      <alignment horizontal="left" vertic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0" fontId="11" fillId="0" borderId="0" xfId="0" applyFont="1" applyAlignment="1">
      <alignment wrapText="1"/>
    </xf>
    <xf numFmtId="0" fontId="8" fillId="8" borderId="3" xfId="0" applyFont="1" applyFill="1" applyBorder="1" applyAlignment="1">
      <alignment horizontal="center" vertical="center"/>
    </xf>
    <xf numFmtId="0" fontId="3" fillId="7" borderId="3" xfId="0" applyFont="1" applyFill="1" applyBorder="1" applyAlignment="1">
      <alignment horizontal="center" vertical="center"/>
    </xf>
    <xf numFmtId="0" fontId="3" fillId="7" borderId="3" xfId="0" applyFont="1" applyFill="1"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horizontal="center" vertical="center" wrapText="1"/>
    </xf>
    <xf numFmtId="14" fontId="0" fillId="0" borderId="3" xfId="0" applyNumberFormat="1" applyBorder="1" applyAlignment="1">
      <alignment horizontal="center" vertical="center" wrapText="1"/>
    </xf>
    <xf numFmtId="0" fontId="3" fillId="2" borderId="3" xfId="0" applyFont="1" applyFill="1" applyBorder="1" applyAlignment="1">
      <alignment horizontal="center" vertical="center"/>
    </xf>
    <xf numFmtId="0" fontId="4" fillId="3" borderId="3" xfId="0" applyFont="1" applyFill="1" applyBorder="1" applyAlignment="1">
      <alignment horizontal="center" vertical="center"/>
    </xf>
    <xf numFmtId="0" fontId="4" fillId="4" borderId="3" xfId="0" applyFont="1" applyFill="1" applyBorder="1" applyAlignment="1">
      <alignment horizontal="center" vertical="center"/>
    </xf>
    <xf numFmtId="0" fontId="4" fillId="5" borderId="3" xfId="0" applyFont="1" applyFill="1" applyBorder="1" applyAlignment="1">
      <alignment horizontal="center" vertical="center"/>
    </xf>
    <xf numFmtId="0" fontId="4" fillId="6" borderId="3" xfId="0" applyFont="1" applyFill="1" applyBorder="1" applyAlignment="1">
      <alignment horizontal="center" vertical="center"/>
    </xf>
    <xf numFmtId="14" fontId="0" fillId="0" borderId="0" xfId="0" applyNumberFormat="1" applyAlignment="1">
      <alignment wrapText="1"/>
    </xf>
    <xf numFmtId="14" fontId="3" fillId="7" borderId="3" xfId="0" applyNumberFormat="1" applyFont="1" applyFill="1" applyBorder="1" applyAlignment="1">
      <alignment horizontal="center" vertical="center" wrapText="1"/>
    </xf>
    <xf numFmtId="14" fontId="0" fillId="0" borderId="0" xfId="0" applyNumberFormat="1"/>
    <xf numFmtId="14" fontId="3" fillId="7" borderId="3" xfId="0" applyNumberFormat="1" applyFont="1" applyFill="1" applyBorder="1" applyAlignment="1">
      <alignment horizontal="center" vertical="center"/>
    </xf>
    <xf numFmtId="0" fontId="14" fillId="0" borderId="3" xfId="0" applyFont="1" applyBorder="1" applyAlignment="1">
      <alignment horizontal="left" vertical="center" wrapText="1"/>
    </xf>
    <xf numFmtId="164" fontId="0" fillId="0" borderId="3" xfId="0" applyNumberFormat="1" applyBorder="1" applyAlignment="1">
      <alignment horizontal="center" vertical="center" wrapText="1"/>
    </xf>
    <xf numFmtId="0" fontId="17" fillId="10" borderId="4" xfId="1" applyFont="1" applyFill="1" applyBorder="1" applyAlignment="1">
      <alignment horizontal="center" vertical="center"/>
    </xf>
    <xf numFmtId="0" fontId="0" fillId="10" borderId="4" xfId="0" applyFill="1" applyBorder="1" applyAlignment="1">
      <alignment horizontal="center" vertical="center"/>
    </xf>
    <xf numFmtId="0" fontId="17" fillId="11" borderId="4" xfId="1" applyFont="1" applyFill="1" applyBorder="1" applyAlignment="1">
      <alignment horizontal="center" vertical="center"/>
    </xf>
    <xf numFmtId="0" fontId="0" fillId="11" borderId="4" xfId="0" applyFill="1" applyBorder="1" applyAlignment="1">
      <alignment horizontal="center" vertical="center"/>
    </xf>
    <xf numFmtId="0" fontId="15" fillId="13" borderId="4" xfId="2" applyFont="1" applyFill="1" applyBorder="1" applyAlignment="1">
      <alignment horizontal="center" vertical="center"/>
    </xf>
    <xf numFmtId="0" fontId="19" fillId="13" borderId="4" xfId="0" applyFont="1" applyFill="1" applyBorder="1" applyAlignment="1">
      <alignment horizontal="center" vertical="center"/>
    </xf>
    <xf numFmtId="0" fontId="17" fillId="10" borderId="4" xfId="0" applyFont="1" applyFill="1" applyBorder="1" applyAlignment="1">
      <alignment horizontal="center" vertical="center"/>
    </xf>
    <xf numFmtId="0" fontId="17" fillId="11" borderId="4" xfId="0" applyFont="1" applyFill="1" applyBorder="1" applyAlignment="1">
      <alignment horizontal="center" vertical="center"/>
    </xf>
    <xf numFmtId="0" fontId="20" fillId="13" borderId="4" xfId="0" applyFont="1" applyFill="1" applyBorder="1" applyAlignment="1">
      <alignment horizontal="center" vertical="center"/>
    </xf>
    <xf numFmtId="0" fontId="21" fillId="0" borderId="0" xfId="1" applyFont="1" applyAlignment="1">
      <alignment horizontal="left" wrapText="1" indent="1"/>
    </xf>
    <xf numFmtId="0" fontId="22" fillId="0" borderId="0" xfId="1" applyFont="1" applyAlignment="1">
      <alignment horizontal="left" indent="1"/>
    </xf>
    <xf numFmtId="0" fontId="21" fillId="0" borderId="0" xfId="1" applyFont="1" applyAlignment="1">
      <alignment horizontal="left" indent="1"/>
    </xf>
    <xf numFmtId="0" fontId="24" fillId="0" borderId="3" xfId="0" applyFont="1" applyBorder="1" applyAlignment="1">
      <alignment horizontal="left" vertical="center" wrapText="1"/>
    </xf>
    <xf numFmtId="0" fontId="25" fillId="14" borderId="0" xfId="0" applyFont="1" applyFill="1" applyAlignment="1">
      <alignment horizontal="center" vertical="center" wrapText="1"/>
    </xf>
    <xf numFmtId="0" fontId="0" fillId="0" borderId="5" xfId="0" applyBorder="1" applyAlignment="1">
      <alignment horizontal="left" vertical="center" wrapText="1"/>
    </xf>
    <xf numFmtId="0" fontId="14" fillId="11" borderId="6" xfId="0" applyFont="1" applyFill="1" applyBorder="1" applyAlignment="1">
      <alignment vertical="top" wrapText="1"/>
    </xf>
    <xf numFmtId="0" fontId="14" fillId="11" borderId="7" xfId="0" applyFont="1" applyFill="1" applyBorder="1" applyAlignment="1">
      <alignment vertical="top" wrapText="1"/>
    </xf>
    <xf numFmtId="0" fontId="25" fillId="14" borderId="0" xfId="0" applyFont="1" applyFill="1" applyAlignment="1">
      <alignment horizontal="center" vertical="center"/>
    </xf>
    <xf numFmtId="0" fontId="0" fillId="0" borderId="5" xfId="0" applyBorder="1" applyAlignment="1">
      <alignment horizontal="left" vertical="center"/>
    </xf>
    <xf numFmtId="0" fontId="6" fillId="2" borderId="0" xfId="0" applyFont="1" applyFill="1" applyAlignment="1">
      <alignment horizontal="left" vertical="center" wrapText="1"/>
    </xf>
    <xf numFmtId="0" fontId="0" fillId="0" borderId="0" xfId="0"/>
    <xf numFmtId="0" fontId="2" fillId="0" borderId="0" xfId="0" applyFont="1"/>
    <xf numFmtId="0" fontId="7" fillId="2" borderId="0" xfId="0" applyFont="1" applyFill="1" applyAlignment="1">
      <alignment horizontal="left" vertical="center"/>
    </xf>
    <xf numFmtId="0" fontId="10" fillId="8" borderId="0" xfId="0" applyFont="1" applyFill="1"/>
    <xf numFmtId="0" fontId="9" fillId="5" borderId="1" xfId="0" applyFont="1" applyFill="1" applyBorder="1" applyAlignment="1">
      <alignment horizontal="center" vertical="center"/>
    </xf>
    <xf numFmtId="0" fontId="0" fillId="0" borderId="2" xfId="0" applyBorder="1"/>
    <xf numFmtId="0" fontId="9" fillId="3" borderId="1" xfId="0" applyFont="1" applyFill="1" applyBorder="1" applyAlignment="1">
      <alignment horizontal="center" vertical="center"/>
    </xf>
    <xf numFmtId="0" fontId="9" fillId="4" borderId="1" xfId="0" applyFont="1" applyFill="1" applyBorder="1" applyAlignment="1">
      <alignment horizontal="center" vertical="center"/>
    </xf>
    <xf numFmtId="0" fontId="9" fillId="8" borderId="1" xfId="0" applyFont="1" applyFill="1" applyBorder="1" applyAlignment="1">
      <alignment horizontal="center" vertical="center"/>
    </xf>
    <xf numFmtId="0" fontId="9" fillId="9" borderId="1" xfId="0" applyFont="1" applyFill="1" applyBorder="1" applyAlignment="1">
      <alignment horizontal="center" vertical="center"/>
    </xf>
    <xf numFmtId="0" fontId="9" fillId="6" borderId="1" xfId="0" applyFont="1" applyFill="1" applyBorder="1" applyAlignment="1">
      <alignment horizontal="center" vertical="center"/>
    </xf>
    <xf numFmtId="0" fontId="6" fillId="2" borderId="0" xfId="0" applyFont="1" applyFill="1" applyAlignment="1">
      <alignment horizontal="left" vertical="center"/>
    </xf>
    <xf numFmtId="0" fontId="12" fillId="2" borderId="0" xfId="0" applyFont="1" applyFill="1" applyAlignment="1">
      <alignment horizontal="left" vertical="center"/>
    </xf>
    <xf numFmtId="0" fontId="5" fillId="0" borderId="0" xfId="0" applyFont="1"/>
    <xf numFmtId="0" fontId="1" fillId="0" borderId="0" xfId="0" applyFont="1"/>
  </cellXfs>
  <cellStyles count="3">
    <cellStyle name="Accent5" xfId="2" builtinId="45"/>
    <cellStyle name="Hyperlink" xfId="1" builtinId="8"/>
    <cellStyle name="Normal" xfId="0" builtinId="0"/>
  </cellStyles>
  <dxfs count="188">
    <dxf>
      <font>
        <b/>
        <color rgb="FF9C0006"/>
      </font>
      <fill>
        <patternFill patternType="solid">
          <fgColor rgb="FFF8B6B6"/>
        </patternFill>
      </fill>
    </dxf>
    <dxf>
      <font>
        <b/>
        <color rgb="FF9C6500"/>
      </font>
      <fill>
        <patternFill patternType="solid">
          <fgColor rgb="FFFFE699"/>
        </patternFill>
      </fill>
    </dxf>
    <dxf>
      <font>
        <b/>
        <color rgb="FF006100"/>
      </font>
      <fill>
        <patternFill patternType="solid">
          <fgColor rgb="FFC6EFCE"/>
        </patternFill>
      </fill>
    </dxf>
    <dxf>
      <font>
        <b/>
        <color rgb="FF006100"/>
      </font>
      <fill>
        <patternFill patternType="solid">
          <fgColor rgb="FFC6EFCE"/>
        </patternFill>
      </fill>
    </dxf>
    <dxf>
      <fill>
        <patternFill patternType="solid">
          <fgColor rgb="FFCFE2F3"/>
        </patternFill>
      </fill>
    </dxf>
    <dxf>
      <font>
        <color rgb="FF595959"/>
      </font>
      <fill>
        <patternFill patternType="solid">
          <fgColor rgb="FFE7E6E6"/>
        </patternFill>
      </fill>
    </dxf>
    <dxf>
      <font>
        <b/>
        <color rgb="FF9C0006"/>
      </font>
      <fill>
        <patternFill patternType="solid">
          <fgColor rgb="FFF8B6B6"/>
        </patternFill>
      </fill>
    </dxf>
    <dxf>
      <font>
        <b/>
        <color rgb="FF9C6500"/>
      </font>
      <fill>
        <patternFill patternType="solid">
          <fgColor rgb="FFFFE699"/>
        </patternFill>
      </fill>
    </dxf>
    <dxf>
      <font>
        <b/>
        <color rgb="FF006100"/>
      </font>
      <fill>
        <patternFill patternType="solid">
          <fgColor rgb="FFC6EFCE"/>
        </patternFill>
      </fill>
    </dxf>
    <dxf>
      <font>
        <b/>
        <color rgb="FF006100"/>
      </font>
      <fill>
        <patternFill patternType="solid">
          <fgColor rgb="FFC6EFCE"/>
        </patternFill>
      </fill>
    </dxf>
    <dxf>
      <fill>
        <patternFill patternType="solid">
          <fgColor rgb="FFCFE2F3"/>
        </patternFill>
      </fill>
    </dxf>
    <dxf>
      <font>
        <color rgb="FF595959"/>
      </font>
      <fill>
        <patternFill patternType="solid">
          <fgColor rgb="FFE7E6E6"/>
        </patternFill>
      </fill>
    </dxf>
    <dxf>
      <font>
        <b/>
        <color rgb="FF9C0006"/>
      </font>
      <fill>
        <patternFill patternType="solid">
          <fgColor rgb="FFF8B6B6"/>
        </patternFill>
      </fill>
    </dxf>
    <dxf>
      <font>
        <b/>
        <color rgb="FF9C6500"/>
      </font>
      <fill>
        <patternFill patternType="solid">
          <fgColor rgb="FFFFE699"/>
        </patternFill>
      </fill>
    </dxf>
    <dxf>
      <font>
        <b/>
        <color rgb="FF006100"/>
      </font>
      <fill>
        <patternFill patternType="solid">
          <fgColor rgb="FFC6EFCE"/>
        </patternFill>
      </fill>
    </dxf>
    <dxf>
      <font>
        <b/>
        <color rgb="FF006100"/>
      </font>
      <fill>
        <patternFill patternType="solid">
          <fgColor rgb="FFC6EFCE"/>
        </patternFill>
      </fill>
    </dxf>
    <dxf>
      <fill>
        <patternFill patternType="solid">
          <fgColor rgb="FFCFE2F3"/>
        </patternFill>
      </fill>
    </dxf>
    <dxf>
      <font>
        <color rgb="FF595959"/>
      </font>
      <fill>
        <patternFill patternType="solid">
          <fgColor rgb="FFE7E6E6"/>
        </patternFill>
      </fill>
    </dxf>
    <dxf>
      <font>
        <b/>
        <color rgb="FF9C0006"/>
      </font>
      <fill>
        <patternFill patternType="solid">
          <fgColor rgb="FFF8B6B6"/>
        </patternFill>
      </fill>
    </dxf>
    <dxf>
      <font>
        <b/>
        <color rgb="FF9C6500"/>
      </font>
      <fill>
        <patternFill patternType="solid">
          <fgColor rgb="FFFFE699"/>
        </patternFill>
      </fill>
    </dxf>
    <dxf>
      <font>
        <b/>
        <color rgb="FF006100"/>
      </font>
      <fill>
        <patternFill patternType="solid">
          <fgColor rgb="FFC6EFCE"/>
        </patternFill>
      </fill>
    </dxf>
    <dxf>
      <font>
        <b/>
        <color rgb="FF006100"/>
      </font>
      <fill>
        <patternFill patternType="solid">
          <fgColor rgb="FFC6EFCE"/>
        </patternFill>
      </fill>
    </dxf>
    <dxf>
      <fill>
        <patternFill patternType="solid">
          <fgColor rgb="FFCFE2F3"/>
        </patternFill>
      </fill>
    </dxf>
    <dxf>
      <font>
        <color rgb="FF595959"/>
      </font>
      <fill>
        <patternFill patternType="solid">
          <fgColor rgb="FFE7E6E6"/>
        </patternFill>
      </fill>
    </dxf>
    <dxf>
      <font>
        <b/>
        <color rgb="FF9C0006"/>
      </font>
      <fill>
        <patternFill patternType="solid">
          <fgColor rgb="FFF8B6B6"/>
        </patternFill>
      </fill>
    </dxf>
    <dxf>
      <font>
        <b/>
        <color rgb="FF9C6500"/>
      </font>
      <fill>
        <patternFill patternType="solid">
          <fgColor rgb="FFFFE699"/>
        </patternFill>
      </fill>
    </dxf>
    <dxf>
      <font>
        <b/>
        <color rgb="FF006100"/>
      </font>
      <fill>
        <patternFill patternType="solid">
          <fgColor rgb="FFC6EFCE"/>
        </patternFill>
      </fill>
    </dxf>
    <dxf>
      <font>
        <b/>
        <color rgb="FF006100"/>
      </font>
      <fill>
        <patternFill patternType="solid">
          <fgColor rgb="FFC6EFCE"/>
        </patternFill>
      </fill>
    </dxf>
    <dxf>
      <fill>
        <patternFill patternType="solid">
          <fgColor rgb="FFCFE2F3"/>
        </patternFill>
      </fill>
    </dxf>
    <dxf>
      <font>
        <color rgb="FF595959"/>
      </font>
      <fill>
        <patternFill patternType="solid">
          <fgColor rgb="FFE7E6E6"/>
        </patternFill>
      </fill>
    </dxf>
    <dxf>
      <font>
        <b/>
        <color rgb="FF9C0006"/>
      </font>
      <fill>
        <patternFill patternType="solid">
          <fgColor rgb="FFF8B6B6"/>
        </patternFill>
      </fill>
    </dxf>
    <dxf>
      <font>
        <b/>
        <color rgb="FF9C6500"/>
      </font>
      <fill>
        <patternFill patternType="solid">
          <fgColor rgb="FFFFE699"/>
        </patternFill>
      </fill>
    </dxf>
    <dxf>
      <font>
        <b/>
        <color rgb="FF006100"/>
      </font>
      <fill>
        <patternFill patternType="solid">
          <fgColor rgb="FFC6EFCE"/>
        </patternFill>
      </fill>
    </dxf>
    <dxf>
      <font>
        <b/>
        <color rgb="FF006100"/>
      </font>
      <fill>
        <patternFill patternType="solid">
          <fgColor rgb="FFC6EFCE"/>
        </patternFill>
      </fill>
    </dxf>
    <dxf>
      <fill>
        <patternFill patternType="solid">
          <fgColor rgb="FFCFE2F3"/>
        </patternFill>
      </fill>
    </dxf>
    <dxf>
      <font>
        <color rgb="FF595959"/>
      </font>
      <fill>
        <patternFill patternType="solid">
          <fgColor rgb="FFE7E6E6"/>
        </patternFill>
      </fill>
    </dxf>
    <dxf>
      <font>
        <b/>
        <color rgb="FF9C0006"/>
      </font>
      <fill>
        <patternFill patternType="solid">
          <fgColor rgb="FFF8B6B6"/>
        </patternFill>
      </fill>
    </dxf>
    <dxf>
      <font>
        <b/>
        <color rgb="FF9C6500"/>
      </font>
      <fill>
        <patternFill patternType="solid">
          <fgColor rgb="FFFFE699"/>
        </patternFill>
      </fill>
    </dxf>
    <dxf>
      <font>
        <b/>
        <color rgb="FF006100"/>
      </font>
      <fill>
        <patternFill patternType="solid">
          <fgColor rgb="FFC6EFCE"/>
        </patternFill>
      </fill>
    </dxf>
    <dxf>
      <font>
        <b/>
        <color rgb="FF006100"/>
      </font>
      <fill>
        <patternFill patternType="solid">
          <fgColor rgb="FFC6EFCE"/>
        </patternFill>
      </fill>
    </dxf>
    <dxf>
      <fill>
        <patternFill patternType="solid">
          <fgColor rgb="FFCFE2F3"/>
        </patternFill>
      </fill>
    </dxf>
    <dxf>
      <font>
        <color rgb="FF595959"/>
      </font>
      <fill>
        <patternFill patternType="solid">
          <fgColor rgb="FFE7E6E6"/>
        </patternFill>
      </fill>
    </dxf>
    <dxf>
      <font>
        <b/>
        <color rgb="FF9C0006"/>
      </font>
      <fill>
        <patternFill patternType="solid">
          <fgColor rgb="FFF8B6B6"/>
        </patternFill>
      </fill>
    </dxf>
    <dxf>
      <font>
        <b/>
        <color rgb="FF9C6500"/>
      </font>
      <fill>
        <patternFill patternType="solid">
          <fgColor rgb="FFFFE699"/>
        </patternFill>
      </fill>
    </dxf>
    <dxf>
      <font>
        <b/>
        <color rgb="FF006100"/>
      </font>
      <fill>
        <patternFill patternType="solid">
          <fgColor rgb="FFC6EFCE"/>
        </patternFill>
      </fill>
    </dxf>
    <dxf>
      <font>
        <b/>
        <color rgb="FF006100"/>
      </font>
      <fill>
        <patternFill patternType="solid">
          <fgColor rgb="FFC6EFCE"/>
        </patternFill>
      </fill>
    </dxf>
    <dxf>
      <fill>
        <patternFill patternType="solid">
          <fgColor rgb="FFCFE2F3"/>
        </patternFill>
      </fill>
    </dxf>
    <dxf>
      <font>
        <color rgb="FF595959"/>
      </font>
      <fill>
        <patternFill patternType="solid">
          <fgColor rgb="FFE7E6E6"/>
        </patternFill>
      </fill>
    </dxf>
    <dxf>
      <font>
        <b/>
        <color rgb="FF9C0006"/>
      </font>
      <fill>
        <patternFill patternType="solid">
          <fgColor rgb="FFF8B6B6"/>
        </patternFill>
      </fill>
    </dxf>
    <dxf>
      <font>
        <b/>
        <color rgb="FF9C6500"/>
      </font>
      <fill>
        <patternFill patternType="solid">
          <fgColor rgb="FFFFE699"/>
        </patternFill>
      </fill>
    </dxf>
    <dxf>
      <font>
        <b/>
        <color rgb="FF006100"/>
      </font>
      <fill>
        <patternFill patternType="solid">
          <fgColor rgb="FFC6EFCE"/>
        </patternFill>
      </fill>
    </dxf>
    <dxf>
      <font>
        <b/>
        <color rgb="FF006100"/>
      </font>
      <fill>
        <patternFill patternType="solid">
          <fgColor rgb="FFC6EFCE"/>
        </patternFill>
      </fill>
    </dxf>
    <dxf>
      <fill>
        <patternFill patternType="solid">
          <fgColor rgb="FFCFE2F3"/>
        </patternFill>
      </fill>
    </dxf>
    <dxf>
      <font>
        <color rgb="FF595959"/>
      </font>
      <fill>
        <patternFill patternType="solid">
          <fgColor rgb="FFE7E6E6"/>
        </patternFill>
      </fill>
    </dxf>
    <dxf>
      <font>
        <b/>
        <color rgb="FF9C0006"/>
      </font>
      <fill>
        <patternFill patternType="solid">
          <fgColor rgb="FFF8B6B6"/>
        </patternFill>
      </fill>
    </dxf>
    <dxf>
      <font>
        <b/>
        <color rgb="FF9C6500"/>
      </font>
      <fill>
        <patternFill patternType="solid">
          <fgColor rgb="FFFFE699"/>
        </patternFill>
      </fill>
    </dxf>
    <dxf>
      <font>
        <b/>
        <color rgb="FF006100"/>
      </font>
      <fill>
        <patternFill patternType="solid">
          <fgColor rgb="FFC6EFCE"/>
        </patternFill>
      </fill>
    </dxf>
    <dxf>
      <font>
        <b/>
        <color rgb="FF006100"/>
      </font>
      <fill>
        <patternFill patternType="solid">
          <fgColor rgb="FFC6EFCE"/>
        </patternFill>
      </fill>
    </dxf>
    <dxf>
      <fill>
        <patternFill patternType="solid">
          <fgColor rgb="FFCFE2F3"/>
        </patternFill>
      </fill>
    </dxf>
    <dxf>
      <font>
        <color rgb="FF595959"/>
      </font>
      <fill>
        <patternFill patternType="solid">
          <fgColor rgb="FFE7E6E6"/>
        </patternFill>
      </fill>
    </dxf>
    <dxf>
      <fill>
        <patternFill>
          <bgColor rgb="FFFFF2CC"/>
        </patternFill>
      </fill>
    </dxf>
    <dxf>
      <fill>
        <patternFill>
          <bgColor rgb="FFFFF2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EBEBEB"/>
        </patternFill>
      </fill>
    </dxf>
    <dxf>
      <fill>
        <patternFill>
          <bgColor rgb="FFD9EAD3"/>
        </patternFill>
      </fill>
    </dxf>
    <dxf>
      <fill>
        <patternFill>
          <bgColor rgb="FFD9EAD3"/>
        </patternFill>
      </fill>
    </dxf>
    <dxf>
      <fill>
        <patternFill patternType="solid">
          <fgColor rgb="FFF8B6B6"/>
        </patternFill>
      </fill>
    </dxf>
    <dxf>
      <fill>
        <patternFill patternType="solid">
          <fgColor rgb="FFFFE699"/>
        </patternFill>
      </fill>
    </dxf>
    <dxf>
      <fill>
        <patternFill patternType="solid">
          <fgColor rgb="FFC6EFCE"/>
        </patternFill>
      </fill>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numFmt numFmtId="19" formatCode="dd/mm/yyyy"/>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numFmt numFmtId="19" formatCode="dd/mm/yyyy"/>
    </dxf>
    <dxf>
      <numFmt numFmtId="19" formatCode="dd/mm/yyyy"/>
    </dxf>
    <dxf>
      <alignment wrapText="1"/>
    </dxf>
    <dxf>
      <alignment wrapText="1"/>
    </dxf>
    <dxf>
      <numFmt numFmtId="19" formatCode="dd/mm/yyyy"/>
      <alignment wrapText="1"/>
    </dxf>
    <dxf>
      <alignment wrapText="1"/>
    </dxf>
    <dxf>
      <alignment wrapText="1"/>
    </dxf>
    <dxf>
      <alignment wrapText="1"/>
    </dxf>
    <dxf>
      <alignment wrapText="1"/>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numFmt numFmtId="19" formatCode="dd/mm/yyyy"/>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numFmt numFmtId="19" formatCode="dd/mm/yyyy"/>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wrapText="1"/>
    </dxf>
    <dxf>
      <alignment wrapText="1"/>
    </dxf>
    <dxf>
      <alignment wrapText="1"/>
    </dxf>
    <dxf>
      <numFmt numFmtId="19" formatCode="dd/mm/yyyy"/>
      <alignment wrapText="1"/>
    </dxf>
    <dxf>
      <alignment wrapText="1"/>
    </dxf>
    <dxf>
      <alignment wrapText="1"/>
    </dxf>
    <dxf>
      <alignment wrapText="1"/>
    </dxf>
    <dxf>
      <alignment wrapText="1"/>
    </dxf>
    <dxf>
      <alignment wrapText="1"/>
    </dxf>
    <dxf>
      <alignment wrapText="1"/>
    </dxf>
    <dxf>
      <alignment vertical="center" textRotation="0" wrapText="1" indent="0" justifyLastLine="0" shrinkToFit="0" readingOrder="0"/>
    </dxf>
    <dxf>
      <alignment vertical="center" textRotation="0" wrapText="1" indent="0" justifyLastLine="0" shrinkToFit="0" readingOrder="0"/>
    </dxf>
    <dxf>
      <numFmt numFmtId="19" formatCode="dd/mm/yyyy"/>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numFmt numFmtId="19" formatCode="dd/mm/yyyy"/>
    </dxf>
    <dxf>
      <alignment wrapText="1"/>
    </dxf>
    <dxf>
      <alignment wrapText="1"/>
    </dxf>
    <dxf>
      <alignment wrapText="1"/>
    </dxf>
    <dxf>
      <numFmt numFmtId="19" formatCode="dd/mm/yyyy"/>
      <alignment wrapText="1"/>
    </dxf>
    <dxf>
      <alignment wrapText="1"/>
    </dxf>
    <dxf>
      <alignment wrapText="1"/>
    </dxf>
    <dxf>
      <alignment wrapText="1"/>
    </dxf>
    <dxf>
      <alignment wrapText="1"/>
    </dxf>
    <dxf>
      <alignment wrapText="1"/>
    </dxf>
    <dxf>
      <alignment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561975</xdr:colOff>
      <xdr:row>3</xdr:row>
      <xdr:rowOff>95250</xdr:rowOff>
    </xdr:from>
    <xdr:to>
      <xdr:col>8</xdr:col>
      <xdr:colOff>257175</xdr:colOff>
      <xdr:row>16</xdr:row>
      <xdr:rowOff>114300</xdr:rowOff>
    </xdr:to>
    <xdr:pic>
      <xdr:nvPicPr>
        <xdr:cNvPr id="4" name="Picture 3">
          <a:extLst>
            <a:ext uri="{FF2B5EF4-FFF2-40B4-BE49-F238E27FC236}">
              <a16:creationId xmlns:a16="http://schemas.microsoft.com/office/drawing/2014/main" id="{EDADD0AC-2F70-A95A-D139-C9C6B5368DDB}"/>
            </a:ext>
          </a:extLst>
        </xdr:cNvPr>
        <xdr:cNvPicPr>
          <a:picLocks noChangeAspect="1"/>
        </xdr:cNvPicPr>
      </xdr:nvPicPr>
      <xdr:blipFill>
        <a:blip xmlns:r="http://schemas.openxmlformats.org/officeDocument/2006/relationships" r:embed="rId1"/>
        <a:stretch>
          <a:fillRect/>
        </a:stretch>
      </xdr:blipFill>
      <xdr:spPr>
        <a:xfrm>
          <a:off x="561975" y="666750"/>
          <a:ext cx="4572000" cy="2495550"/>
        </a:xfrm>
        <a:prstGeom prst="rect">
          <a:avLst/>
        </a:prstGeom>
      </xdr:spPr>
    </xdr:pic>
    <xdr:clientData/>
  </xdr:twoCellAnchor>
  <xdr:twoCellAnchor editAs="oneCell">
    <xdr:from>
      <xdr:col>1</xdr:col>
      <xdr:colOff>0</xdr:colOff>
      <xdr:row>20</xdr:row>
      <xdr:rowOff>0</xdr:rowOff>
    </xdr:from>
    <xdr:to>
      <xdr:col>8</xdr:col>
      <xdr:colOff>304800</xdr:colOff>
      <xdr:row>33</xdr:row>
      <xdr:rowOff>0</xdr:rowOff>
    </xdr:to>
    <xdr:pic>
      <xdr:nvPicPr>
        <xdr:cNvPr id="5" name="Picture 4">
          <a:extLst>
            <a:ext uri="{FF2B5EF4-FFF2-40B4-BE49-F238E27FC236}">
              <a16:creationId xmlns:a16="http://schemas.microsoft.com/office/drawing/2014/main" id="{68536825-6B37-718E-E7FB-45ECF5C3C8CC}"/>
            </a:ext>
            <a:ext uri="{147F2762-F138-4A5C-976F-8EAC2B608ADB}">
              <a16:predDERef xmlns:a16="http://schemas.microsoft.com/office/drawing/2014/main" pred="{EDADD0AC-2F70-A95A-D139-C9C6B5368DDB}"/>
            </a:ext>
          </a:extLst>
        </xdr:cNvPr>
        <xdr:cNvPicPr>
          <a:picLocks noChangeAspect="1"/>
        </xdr:cNvPicPr>
      </xdr:nvPicPr>
      <xdr:blipFill>
        <a:blip xmlns:r="http://schemas.openxmlformats.org/officeDocument/2006/relationships" r:embed="rId2"/>
        <a:stretch>
          <a:fillRect/>
        </a:stretch>
      </xdr:blipFill>
      <xdr:spPr>
        <a:xfrm>
          <a:off x="609600" y="3810000"/>
          <a:ext cx="4572000" cy="24765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iologyTbl" displayName="BiologyTbl" ref="A3:F27" headerRowDxfId="187" dataDxfId="186" totalsRowDxfId="185">
  <autoFilter ref="A3:F27" xr:uid="{00000000-0009-0000-0100-000001000000}"/>
  <tableColumns count="6">
    <tableColumn id="1" xr3:uid="{00000000-0010-0000-0000-000001000000}" name="Topic" dataDxfId="184"/>
    <tableColumn id="2" xr3:uid="{00000000-0010-0000-0000-000002000000}" name="Status" dataDxfId="183"/>
    <tableColumn id="3" xr3:uid="{00000000-0010-0000-0000-000003000000}" name="Confidence" dataDxfId="182"/>
    <tableColumn id="4" xr3:uid="{00000000-0010-0000-0000-000004000000}" name="Last Revised" dataDxfId="181"/>
    <tableColumn id="6" xr3:uid="{00000000-0010-0000-0000-000006000000}" name="Next Action" dataDxfId="180"/>
    <tableColumn id="5" xr3:uid="{F0BDA802-DA31-4BA7-81BA-FDB612DC37E1}" name="General Notes" dataDxfId="179" totalsRowDxfId="178"/>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hemistryTbl" displayName="ChemistryTbl" ref="A3:F18">
  <autoFilter ref="A3:F18" xr:uid="{00000000-0009-0000-0100-000002000000}"/>
  <tableColumns count="6">
    <tableColumn id="1" xr3:uid="{00000000-0010-0000-0100-000001000000}" name="Topic"/>
    <tableColumn id="2" xr3:uid="{00000000-0010-0000-0100-000002000000}" name="Status"/>
    <tableColumn id="3" xr3:uid="{00000000-0010-0000-0100-000003000000}" name="Confidence"/>
    <tableColumn id="4" xr3:uid="{00000000-0010-0000-0100-000004000000}" name="Last Revised" dataDxfId="177"/>
    <tableColumn id="6" xr3:uid="{00000000-0010-0000-0100-000006000000}" name="Next Action"/>
    <tableColumn id="5" xr3:uid="{DB8974C0-4423-4F62-8CA0-D4A3FA4693EA}" name="General Notes"/>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hysicsTbl" displayName="PhysicsTbl" ref="A3:F18" dataDxfId="176">
  <autoFilter ref="A3:F18" xr:uid="{00000000-0009-0000-0100-000003000000}"/>
  <tableColumns count="6">
    <tableColumn id="1" xr3:uid="{00000000-0010-0000-0200-000001000000}" name="Topic" dataDxfId="175"/>
    <tableColumn id="2" xr3:uid="{00000000-0010-0000-0200-000002000000}" name="Status" dataDxfId="174"/>
    <tableColumn id="3" xr3:uid="{00000000-0010-0000-0200-000003000000}" name="Confidence" dataDxfId="173"/>
    <tableColumn id="4" xr3:uid="{00000000-0010-0000-0200-000004000000}" name="Last Revised" dataDxfId="172"/>
    <tableColumn id="6" xr3:uid="{00000000-0010-0000-0200-000006000000}" name="Next Action" dataDxfId="171"/>
    <tableColumn id="5" xr3:uid="{2C5860E0-C42D-447A-99E8-019207F1E49B}" name="General Notes" dataDxfId="170"/>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thematicsTbl" displayName="MathematicsTbl" ref="A3:F18" headerRowDxfId="169" dataDxfId="168" totalsRowDxfId="167">
  <autoFilter ref="A3:F18" xr:uid="{00000000-0009-0000-0100-000004000000}"/>
  <tableColumns count="6">
    <tableColumn id="1" xr3:uid="{00000000-0010-0000-0300-000001000000}" name="Topic" dataDxfId="166"/>
    <tableColumn id="2" xr3:uid="{00000000-0010-0000-0300-000002000000}" name="Status" dataDxfId="165"/>
    <tableColumn id="3" xr3:uid="{00000000-0010-0000-0300-000003000000}" name="Confidence" dataDxfId="164"/>
    <tableColumn id="4" xr3:uid="{00000000-0010-0000-0300-000004000000}" name="Last Revised" dataDxfId="163"/>
    <tableColumn id="6" xr3:uid="{00000000-0010-0000-0300-000006000000}" name="Next Action" dataDxfId="162"/>
    <tableColumn id="5" xr3:uid="{902E25C2-558C-4568-81EE-02B6DDE3EEEE}" name="General Notes" dataDxfId="161" totalsRowDxfId="160"/>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nglishLanguageTbl" displayName="EnglishLanguageTbl" ref="A3:F18" dataDxfId="159">
  <autoFilter ref="A3:F18" xr:uid="{00000000-0009-0000-0100-000005000000}"/>
  <tableColumns count="6">
    <tableColumn id="1" xr3:uid="{00000000-0010-0000-0400-000001000000}" name="Topic" dataDxfId="158"/>
    <tableColumn id="2" xr3:uid="{00000000-0010-0000-0400-000002000000}" name="Status" dataDxfId="157"/>
    <tableColumn id="3" xr3:uid="{00000000-0010-0000-0400-000003000000}" name="Confidence" dataDxfId="156"/>
    <tableColumn id="4" xr3:uid="{00000000-0010-0000-0400-000004000000}" name="Last Revised" dataDxfId="155"/>
    <tableColumn id="6" xr3:uid="{00000000-0010-0000-0400-000006000000}" name="Next Action" dataDxfId="154"/>
    <tableColumn id="5" xr3:uid="{75D1410F-47BB-4A48-905A-25CF74BDB786}" name="General Notes" dataDxfId="153"/>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nglishLiteratureTbl" displayName="EnglishLiteratureTbl" ref="A3:F18" headerRowDxfId="152" dataDxfId="151" totalsRowDxfId="150">
  <autoFilter ref="A3:F18" xr:uid="{00000000-0009-0000-0100-000006000000}"/>
  <tableColumns count="6">
    <tableColumn id="1" xr3:uid="{00000000-0010-0000-0500-000001000000}" name="Topic" dataDxfId="149"/>
    <tableColumn id="2" xr3:uid="{00000000-0010-0000-0500-000002000000}" name="Status" dataDxfId="148"/>
    <tableColumn id="3" xr3:uid="{00000000-0010-0000-0500-000003000000}" name="Confidence" dataDxfId="147"/>
    <tableColumn id="4" xr3:uid="{00000000-0010-0000-0500-000004000000}" name="Last Revised" dataDxfId="146"/>
    <tableColumn id="6" xr3:uid="{00000000-0010-0000-0500-000006000000}" name="Next Action" dataDxfId="145"/>
    <tableColumn id="5" xr3:uid="{930CE764-AB02-4790-8724-F5622F11644B}" name="General Notes" dataDxfId="144" totalsRowDxfId="143"/>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GeographyTbl" displayName="GeographyTbl" ref="A3:F18" dataDxfId="142">
  <autoFilter ref="A3:F18" xr:uid="{00000000-0009-0000-0100-000007000000}"/>
  <tableColumns count="6">
    <tableColumn id="1" xr3:uid="{00000000-0010-0000-0600-000001000000}" name="Topic" dataDxfId="141"/>
    <tableColumn id="2" xr3:uid="{00000000-0010-0000-0600-000002000000}" name="Status" dataDxfId="140"/>
    <tableColumn id="3" xr3:uid="{00000000-0010-0000-0600-000003000000}" name="Confidence" dataDxfId="139"/>
    <tableColumn id="4" xr3:uid="{00000000-0010-0000-0600-000004000000}" name="Last Revised" dataDxfId="138"/>
    <tableColumn id="6" xr3:uid="{00000000-0010-0000-0600-000006000000}" name="Next Action" dataDxfId="137"/>
    <tableColumn id="5" xr3:uid="{27D2B179-C2A7-46A7-8BEB-752BF05A8E89}" name="General Notes" dataDxfId="136"/>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HistoryTbl" displayName="HistoryTbl" ref="A3:F18">
  <autoFilter ref="A3:F18" xr:uid="{00000000-0009-0000-0100-000008000000}"/>
  <tableColumns count="6">
    <tableColumn id="1" xr3:uid="{00000000-0010-0000-0700-000001000000}" name="Topic"/>
    <tableColumn id="2" xr3:uid="{00000000-0010-0000-0700-000002000000}" name="Status"/>
    <tableColumn id="3" xr3:uid="{00000000-0010-0000-0700-000003000000}" name="Confidence"/>
    <tableColumn id="4" xr3:uid="{00000000-0010-0000-0700-000004000000}" name="Last Revised" dataDxfId="135"/>
    <tableColumn id="6" xr3:uid="{00000000-0010-0000-0700-000006000000}" name="Next Action"/>
    <tableColumn id="5" xr3:uid="{28A5B818-9271-4E86-B3A0-50B7055F910C}" name="General Notes"/>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panishTbl" displayName="SpanishTbl" ref="A3:F18">
  <autoFilter ref="A3:F18" xr:uid="{00000000-0009-0000-0100-000009000000}"/>
  <tableColumns count="6">
    <tableColumn id="1" xr3:uid="{00000000-0010-0000-0800-000001000000}" name="Topic"/>
    <tableColumn id="2" xr3:uid="{00000000-0010-0000-0800-000002000000}" name="Status"/>
    <tableColumn id="3" xr3:uid="{00000000-0010-0000-0800-000003000000}" name="Confidence"/>
    <tableColumn id="4" xr3:uid="{00000000-0010-0000-0800-000004000000}" name="Last Revised" dataDxfId="134"/>
    <tableColumn id="6" xr3:uid="{00000000-0010-0000-0800-000006000000}" name="Next Action"/>
    <tableColumn id="5" xr3:uid="{7C8E7108-0749-49A2-855D-B734764E8E58}" name="General Notes"/>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omputerScienceTbl" displayName="ComputerScienceTbl" ref="A3:F18" headerRowDxfId="133" dataDxfId="132" totalsRowDxfId="131">
  <autoFilter ref="A3:F18" xr:uid="{00000000-0009-0000-0100-00000A000000}"/>
  <tableColumns count="6">
    <tableColumn id="1" xr3:uid="{00000000-0010-0000-0900-000001000000}" name="Topic" dataDxfId="130"/>
    <tableColumn id="2" xr3:uid="{00000000-0010-0000-0900-000002000000}" name="Status" dataDxfId="129"/>
    <tableColumn id="3" xr3:uid="{00000000-0010-0000-0900-000003000000}" name="Confidence" dataDxfId="128"/>
    <tableColumn id="4" xr3:uid="{00000000-0010-0000-0900-000004000000}" name="Last Revised" dataDxfId="127"/>
    <tableColumn id="6" xr3:uid="{00000000-0010-0000-0900-000006000000}" name="Next Action" dataDxfId="126"/>
    <tableColumn id="5" xr3:uid="{63D6C4F6-C7E6-4663-AE70-5CFDFF770C29}" name="General Notes" dataDxfId="125" totalsRowDxfId="124"/>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F182-A9DF-49CA-A197-60E29E93D9CE}">
  <dimension ref="A1"/>
  <sheetViews>
    <sheetView topLeftCell="A3" zoomScale="85" zoomScaleNormal="85" zoomScaleSheetLayoutView="100" workbookViewId="0">
      <selection activeCell="O24" sqref="O24"/>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
  <sheetViews>
    <sheetView showGridLines="0" workbookViewId="0">
      <selection activeCell="A14" sqref="A14"/>
    </sheetView>
  </sheetViews>
  <sheetFormatPr defaultRowHeight="15" x14ac:dyDescent="0.25"/>
  <cols>
    <col min="1" max="1" width="22.7109375" customWidth="1"/>
    <col min="2" max="8" width="14.7109375" customWidth="1"/>
    <col min="9" max="9" width="18.7109375" customWidth="1"/>
    <col min="13" max="13" width="13" hidden="1" customWidth="1"/>
  </cols>
  <sheetData>
    <row r="1" spans="1:13" ht="39.950000000000003" customHeight="1" x14ac:dyDescent="0.25">
      <c r="A1" s="45" t="s">
        <v>0</v>
      </c>
      <c r="B1" s="43"/>
      <c r="C1" s="43"/>
      <c r="D1" s="43"/>
      <c r="E1" s="43"/>
      <c r="F1" s="43"/>
      <c r="G1" s="43"/>
      <c r="H1" s="43"/>
      <c r="I1" s="43"/>
      <c r="J1" s="43"/>
      <c r="K1" s="43"/>
      <c r="M1" t="s">
        <v>1</v>
      </c>
    </row>
    <row r="2" spans="1:13" ht="8.1" customHeight="1" x14ac:dyDescent="0.25">
      <c r="M2" t="s">
        <v>2</v>
      </c>
    </row>
    <row r="3" spans="1:13" ht="26.1" customHeight="1" x14ac:dyDescent="0.3">
      <c r="A3" s="44" t="s">
        <v>3</v>
      </c>
      <c r="B3" s="43"/>
      <c r="C3" s="43"/>
      <c r="D3" s="43"/>
      <c r="E3" s="43"/>
      <c r="F3" s="43"/>
      <c r="M3" t="s">
        <v>4</v>
      </c>
    </row>
    <row r="4" spans="1:13" x14ac:dyDescent="0.25">
      <c r="M4" t="s">
        <v>5</v>
      </c>
    </row>
    <row r="5" spans="1:13" ht="20.100000000000001" customHeight="1" x14ac:dyDescent="0.25">
      <c r="A5" s="6" t="s">
        <v>6</v>
      </c>
      <c r="C5" s="6" t="s">
        <v>7</v>
      </c>
      <c r="E5" s="6" t="s">
        <v>8</v>
      </c>
      <c r="G5" s="6" t="s">
        <v>9</v>
      </c>
      <c r="M5" t="s">
        <v>10</v>
      </c>
    </row>
    <row r="6" spans="1:13" ht="38.1" customHeight="1" x14ac:dyDescent="0.25">
      <c r="A6" s="51">
        <f ca="1">SUMPRODUCT(COUNTIFS(INDIRECT("'"&amp;Subjects&amp;"'!A4:A1000"),"?*"))</f>
        <v>66</v>
      </c>
      <c r="B6" s="48"/>
      <c r="C6" s="53">
        <f ca="1">A6-E6-G6</f>
        <v>52</v>
      </c>
      <c r="D6" s="48"/>
      <c r="E6" s="52">
        <f ca="1">SUMPRODUCT(COUNTIFS(INDIRECT("'"&amp;Subjects&amp;"'!A4:A1000"),"?*",INDIRECT("'"&amp;Subjects&amp;"'!B4:B1000"),"In Progress"))</f>
        <v>4</v>
      </c>
      <c r="F6" s="48"/>
      <c r="G6" s="47">
        <f ca="1">SUMPRODUCT(COUNTIFS(INDIRECT("'"&amp;Subjects&amp;"'!A4:A1000"),"?*",INDIRECT("'"&amp;Subjects&amp;"'!B4:B1000"),"Completed"))</f>
        <v>10</v>
      </c>
      <c r="H6" s="48"/>
      <c r="M6" t="s">
        <v>11</v>
      </c>
    </row>
    <row r="7" spans="1:13" x14ac:dyDescent="0.25">
      <c r="M7" t="s">
        <v>12</v>
      </c>
    </row>
    <row r="8" spans="1:13" ht="20.100000000000001" customHeight="1" x14ac:dyDescent="0.25">
      <c r="A8" s="6" t="s">
        <v>13</v>
      </c>
      <c r="C8" s="6" t="s">
        <v>14</v>
      </c>
      <c r="M8" t="s">
        <v>15</v>
      </c>
    </row>
    <row r="9" spans="1:13" ht="38.1" customHeight="1" x14ac:dyDescent="0.25">
      <c r="A9" s="50">
        <f ca="1">SUMPRODUCT(COUNTIFS(INDIRECT("'"&amp;Subjects&amp;"'!A4:A1000"),"?*",INDIRECT("'"&amp;Subjects&amp;"'!C4:C1000"),"Amber"))</f>
        <v>4</v>
      </c>
      <c r="B9" s="48"/>
      <c r="C9" s="49">
        <f ca="1">SUMPRODUCT(COUNTIFS(INDIRECT("'"&amp;Subjects&amp;"'!A4:A1000"),"?*",INDIRECT("'"&amp;Subjects&amp;"'!C4:C1000"),"Red"))</f>
        <v>2</v>
      </c>
      <c r="D9" s="48"/>
      <c r="M9" t="s">
        <v>16</v>
      </c>
    </row>
    <row r="10" spans="1:13" x14ac:dyDescent="0.25">
      <c r="M10" t="s">
        <v>17</v>
      </c>
    </row>
    <row r="11" spans="1:13" ht="9.9499999999999993" customHeight="1" x14ac:dyDescent="0.25">
      <c r="M11" t="s">
        <v>18</v>
      </c>
    </row>
    <row r="12" spans="1:13" ht="26.1" customHeight="1" x14ac:dyDescent="0.3">
      <c r="A12" s="44" t="s">
        <v>19</v>
      </c>
      <c r="B12" s="43"/>
      <c r="C12" s="43"/>
      <c r="D12" s="43"/>
      <c r="E12" s="43"/>
      <c r="F12" s="43"/>
      <c r="G12" s="43"/>
      <c r="H12" s="43"/>
    </row>
    <row r="13" spans="1:13" ht="30" customHeight="1" x14ac:dyDescent="0.25">
      <c r="A13" s="27" t="s">
        <v>20</v>
      </c>
      <c r="B13" s="28" t="s">
        <v>21</v>
      </c>
      <c r="C13" s="28" t="s">
        <v>7</v>
      </c>
      <c r="D13" s="28" t="s">
        <v>8</v>
      </c>
      <c r="E13" s="28" t="s">
        <v>9</v>
      </c>
      <c r="F13" s="28" t="s">
        <v>22</v>
      </c>
      <c r="G13" s="28" t="s">
        <v>13</v>
      </c>
      <c r="H13" s="28" t="s">
        <v>14</v>
      </c>
      <c r="I13" s="31" t="s">
        <v>23</v>
      </c>
    </row>
    <row r="14" spans="1:13" ht="24.95" customHeight="1" x14ac:dyDescent="0.25">
      <c r="A14" s="23" t="s">
        <v>2</v>
      </c>
      <c r="B14" s="24">
        <f ca="1">SUMPRODUCT(COUNTIFS(INDIRECT("'Biology'!A4:A1000"),"?*"))</f>
        <v>8</v>
      </c>
      <c r="C14" s="24">
        <f t="shared" ref="C14:C23" ca="1" si="0">B14-D14-E14</f>
        <v>6</v>
      </c>
      <c r="D14" s="24">
        <f ca="1">SUMPRODUCT(COUNTIFS(INDIRECT("'Biology'!A4:A1000"),"?*",INDIRECT("'Biology'!B4:B1000"),"In Progress"))</f>
        <v>0</v>
      </c>
      <c r="E14" s="24">
        <f ca="1">SUMPRODUCT(COUNTIFS(INDIRECT("'Biology'!A4:A1000"),"?*",INDIRECT("'Biology'!B4:B1000"),"Completed"))</f>
        <v>2</v>
      </c>
      <c r="F14" s="24">
        <f ca="1">SUMPRODUCT(COUNTIFS(INDIRECT("'Biology'!A4:A1000"),"?*",INDIRECT("'Biology'!C4:C1000"),"Green"))</f>
        <v>2</v>
      </c>
      <c r="G14" s="24">
        <f ca="1">SUMPRODUCT(COUNTIFS(INDIRECT("'Biology'!A4:A1000"),"?*",INDIRECT("'Biology'!C4:C1000"),"Amber"))</f>
        <v>0</v>
      </c>
      <c r="H14" s="24">
        <f ca="1">SUMPRODUCT(COUNTIFS(INDIRECT("'Biology'!A4:A1000"),"?*",INDIRECT("'Biology'!C4:C1000"),"Red"))</f>
        <v>0</v>
      </c>
      <c r="I14" s="29" t="str">
        <f ca="1">IF(MAX(Biology!D4:D1000)=0, "-", IF(MAX(Biology!D4:D1000)=TODAY(), "Today", IF(TODAY()-MAX(Biology!D4:D1000)=1, "Yesterday", TODAY()-MAX(Biology!D4:D1000) &amp; " days ago")))</f>
        <v>Today</v>
      </c>
    </row>
    <row r="15" spans="1:13" ht="24.95" customHeight="1" x14ac:dyDescent="0.25">
      <c r="A15" s="25" t="s">
        <v>4</v>
      </c>
      <c r="B15" s="26">
        <f ca="1">SUMPRODUCT(COUNTIFS(INDIRECT("'Chemistry'!A4:A1000"),"?*"))</f>
        <v>10</v>
      </c>
      <c r="C15" s="26">
        <f t="shared" ca="1" si="0"/>
        <v>9</v>
      </c>
      <c r="D15" s="26">
        <f ca="1">SUMPRODUCT(COUNTIFS(INDIRECT("'Chemistry'!A4:A1000"),"?*",INDIRECT("'Chemistry'!B4:B1000"),"In Progress"))</f>
        <v>0</v>
      </c>
      <c r="E15" s="26">
        <f ca="1">SUMPRODUCT(COUNTIFS(INDIRECT("'Chemistry'!A4:A1000"),"?*",INDIRECT("'Chemistry'!B4:B1000"),"Completed"))</f>
        <v>1</v>
      </c>
      <c r="F15" s="26">
        <f ca="1">SUMPRODUCT(COUNTIFS(INDIRECT("'Chemistry'!A4:A1000"),"?*",INDIRECT("'Chemistry'!C4:C1000"),"Green"))</f>
        <v>1</v>
      </c>
      <c r="G15" s="26">
        <f ca="1">SUMPRODUCT(COUNTIFS(INDIRECT("'Chemistry'!A4:A1000"),"?*",INDIRECT("'Chemistry'!C4:C1000"),"Amber"))</f>
        <v>0</v>
      </c>
      <c r="H15" s="26">
        <f ca="1">SUMPRODUCT(COUNTIFS(INDIRECT("'Chemistry'!A4:A1000"),"?*",INDIRECT("'Chemistry'!C4:C1000"),"Red"))</f>
        <v>0</v>
      </c>
      <c r="I15" s="30" t="str">
        <f ca="1">IF(MAX(Chemistry!D4:D1000)=0, "N/A", IF(MAX(Chemistry!D4:D1000)=TODAY(), "Today", IF(TODAY()-MAX(Chemistry!D4:D1000)=1, "Yesterday", TODAY()-MAX(Chemistry!D4:D1000) &amp; " days ago")))</f>
        <v>Yesterday</v>
      </c>
    </row>
    <row r="16" spans="1:13" ht="24.95" customHeight="1" x14ac:dyDescent="0.25">
      <c r="A16" s="23" t="s">
        <v>5</v>
      </c>
      <c r="B16" s="24">
        <f ca="1">SUMPRODUCT(COUNTIFS(INDIRECT("'Physics'!A4:A1000"),"?*"))</f>
        <v>11</v>
      </c>
      <c r="C16" s="24">
        <f t="shared" ca="1" si="0"/>
        <v>10</v>
      </c>
      <c r="D16" s="24">
        <f ca="1">SUMPRODUCT(COUNTIFS(INDIRECT("'Physics'!A4:A1000"),"?*",INDIRECT("'Physics'!B4:B1000"),"In Progress"))</f>
        <v>0</v>
      </c>
      <c r="E16" s="24">
        <f ca="1">SUMPRODUCT(COUNTIFS(INDIRECT("'Physics'!A4:A1000"),"?*",INDIRECT("'Physics'!B4:B1000"),"Completed"))</f>
        <v>1</v>
      </c>
      <c r="F16" s="24">
        <f ca="1">SUMPRODUCT(COUNTIFS(INDIRECT("'Physics'!A4:A1000"),"?*",INDIRECT("'Physics'!C4:C1000"),"Green"))</f>
        <v>1</v>
      </c>
      <c r="G16" s="24">
        <f ca="1">SUMPRODUCT(COUNTIFS(INDIRECT("'Physics'!A4:A1000"),"?*",INDIRECT("'Physics'!C4:C1000"),"Amber"))</f>
        <v>0</v>
      </c>
      <c r="H16" s="24">
        <f ca="1">SUMPRODUCT(COUNTIFS(INDIRECT("'Physics'!A4:A1000"),"?*",INDIRECT("'Physics'!C4:C1000"),"Red"))</f>
        <v>0</v>
      </c>
      <c r="I16" s="29" t="str">
        <f ca="1">IF(MAX(Physics!D4:D1000)=0, "-", IF(MAX(Physics!D4:D1000)=TODAY(), "Today", IF(TODAY()-MAX(Physics!D4:D1000)=1, "Yesterday", TODAY()-MAX(Physics!D4:D1000) &amp; " days ago")))</f>
        <v>2 days ago</v>
      </c>
    </row>
    <row r="17" spans="1:9" ht="24.95" customHeight="1" x14ac:dyDescent="0.25">
      <c r="A17" s="25" t="s">
        <v>10</v>
      </c>
      <c r="B17" s="26">
        <f ca="1">SUMPRODUCT(COUNTIFS(INDIRECT("'Mathematics'!A4:A1000"),"?*"))</f>
        <v>1</v>
      </c>
      <c r="C17" s="26">
        <f t="shared" ca="1" si="0"/>
        <v>0</v>
      </c>
      <c r="D17" s="26">
        <f ca="1">SUMPRODUCT(COUNTIFS(INDIRECT("'Mathematics'!A4:A1000"),"?*",INDIRECT("'Mathematics'!B4:B1000"),"In Progress"))</f>
        <v>1</v>
      </c>
      <c r="E17" s="26">
        <f ca="1">SUMPRODUCT(COUNTIFS(INDIRECT("'Mathematics'!A4:A1000"),"?*",INDIRECT("'Mathematics'!B4:B1000"),"Completed"))</f>
        <v>0</v>
      </c>
      <c r="F17" s="26">
        <f ca="1">SUMPRODUCT(COUNTIFS(INDIRECT("'Mathematics'!A4:A1000"),"?*",INDIRECT("'Mathematics'!C4:C1000"),"Green"))</f>
        <v>1</v>
      </c>
      <c r="G17" s="26">
        <f ca="1">SUMPRODUCT(COUNTIFS(INDIRECT("'Mathematics'!A4:A1000"),"?*",INDIRECT("'Mathematics'!C4:C1000"),"Amber"))</f>
        <v>0</v>
      </c>
      <c r="H17" s="26">
        <f ca="1">SUMPRODUCT(COUNTIFS(INDIRECT("'Mathematics'!A4:A1000"),"?*",INDIRECT("'Mathematics'!C4:C1000"),"Red"))</f>
        <v>0</v>
      </c>
      <c r="I17" s="30" t="str">
        <f ca="1">IF(MAX(Mathematics!D4:D1000)=0, "-", IF(MAX(Mathematics!D4:D1000)=TODAY(), "Today", IF(TODAY()-MAX(Mathematics!D4:D1000)=1, "Yesterday", TODAY()-MAX(Mathematics!D4:D1000) &amp; " days ago")))</f>
        <v>4 days ago</v>
      </c>
    </row>
    <row r="18" spans="1:9" ht="24.95" customHeight="1" x14ac:dyDescent="0.25">
      <c r="A18" s="23" t="s">
        <v>11</v>
      </c>
      <c r="B18" s="24">
        <f ca="1">SUMPRODUCT(COUNTIFS(INDIRECT("'English Language'!A4:A1000"),"?*"))</f>
        <v>10</v>
      </c>
      <c r="C18" s="24">
        <f t="shared" ca="1" si="0"/>
        <v>6</v>
      </c>
      <c r="D18" s="24">
        <f ca="1">SUMPRODUCT(COUNTIFS(INDIRECT("'English Language'!A4:A1000"),"?*",INDIRECT("'English Language'!B4:B1000"),"In Progress"))</f>
        <v>0</v>
      </c>
      <c r="E18" s="24">
        <f ca="1">SUMPRODUCT(COUNTIFS(INDIRECT("'English Language'!A4:A1000"),"?*",INDIRECT("'English Language'!B4:B1000"),"Completed"))</f>
        <v>4</v>
      </c>
      <c r="F18" s="24">
        <f ca="1">SUMPRODUCT(COUNTIFS(INDIRECT("'English Language'!A4:A1000"),"?*",INDIRECT("'English Language'!C4:C1000"),"Green"))</f>
        <v>0</v>
      </c>
      <c r="G18" s="24">
        <f ca="1">SUMPRODUCT(COUNTIFS(INDIRECT("'English Language'!A4:A1000"),"?*",INDIRECT("'English Language'!C4:C1000"),"Amber"))</f>
        <v>3</v>
      </c>
      <c r="H18" s="24">
        <f ca="1">SUMPRODUCT(COUNTIFS(INDIRECT("'English Language'!A4:A1000"),"?*",INDIRECT("'English Language'!C4:C1000"),"Red"))</f>
        <v>1</v>
      </c>
      <c r="I18" s="29" t="str">
        <f ca="1">IF(MAX('English Language'!D4:D1000)=0, "-", IF(MAX('English Language'!D4:D1000)=TODAY(), "Today", IF(TODAY()-MAX('English Language'!D4:D1000)=1, "Yesterday", TODAY()-MAX('English Language'!D4:D1000) &amp; " days ago")))</f>
        <v>Yesterday</v>
      </c>
    </row>
    <row r="19" spans="1:9" ht="24.95" customHeight="1" x14ac:dyDescent="0.25">
      <c r="A19" s="25" t="s">
        <v>12</v>
      </c>
      <c r="B19" s="26">
        <f ca="1">SUMPRODUCT(COUNTIFS(INDIRECT("'English Literature'!A4:A1000"),"?*"))</f>
        <v>6</v>
      </c>
      <c r="C19" s="26">
        <f t="shared" ca="1" si="0"/>
        <v>5</v>
      </c>
      <c r="D19" s="26">
        <f ca="1">SUMPRODUCT(COUNTIFS(INDIRECT("'English Literature'!A4:A1000"),"?*",INDIRECT("'English Literature'!B4:B1000"),"In Progress"))</f>
        <v>1</v>
      </c>
      <c r="E19" s="26">
        <f ca="1">SUMPRODUCT(COUNTIFS(INDIRECT("'English Literature'!A4:A1000"),"?*",INDIRECT("'English Literature'!B4:B1000"),"Completed"))</f>
        <v>0</v>
      </c>
      <c r="F19" s="26">
        <f ca="1">SUMPRODUCT(COUNTIFS(INDIRECT("'English Literature'!A4:A1000"),"?*",INDIRECT("'English Literature'!C4:C1000"),"Green"))</f>
        <v>0</v>
      </c>
      <c r="G19" s="26">
        <f ca="1">SUMPRODUCT(COUNTIFS(INDIRECT("'English Literature'!A4:A1000"),"?*",INDIRECT("'English Literature'!C4:C1000"),"Amber"))</f>
        <v>0</v>
      </c>
      <c r="H19" s="26">
        <f ca="1">SUMPRODUCT(COUNTIFS(INDIRECT("'English Literature'!A4:A1000"),"?*",INDIRECT("'English Literature'!C4:C1000"),"Red"))</f>
        <v>1</v>
      </c>
      <c r="I19" s="30" t="str">
        <f ca="1">IF(MAX('English Literature'!D4:D1000)=0, "-", IF(MAX('English Literature'!D4:D1000)=TODAY(), "Today", IF(TODAY()-MAX('English Literature'!D4:D1000)=1, "Yesterday", TODAY()-MAX('English Literature'!D4:D1000) &amp; " days ago")))</f>
        <v>2 days ago</v>
      </c>
    </row>
    <row r="20" spans="1:9" ht="24.95" customHeight="1" x14ac:dyDescent="0.25">
      <c r="A20" s="23" t="s">
        <v>15</v>
      </c>
      <c r="B20" s="24">
        <f ca="1">SUMPRODUCT(COUNTIFS(INDIRECT("'Geography'!A4:A1000"),"?*"))</f>
        <v>5</v>
      </c>
      <c r="C20" s="24">
        <f t="shared" ca="1" si="0"/>
        <v>4</v>
      </c>
      <c r="D20" s="24">
        <f ca="1">SUMPRODUCT(COUNTIFS(INDIRECT("'Geography'!A4:A1000"),"?*",INDIRECT("'Geography'!B4:B1000"),"In Progress"))</f>
        <v>0</v>
      </c>
      <c r="E20" s="24">
        <f ca="1">SUMPRODUCT(COUNTIFS(INDIRECT("'Geography'!A4:A1000"),"?*",INDIRECT("'Geography'!B4:B1000"),"Completed"))</f>
        <v>1</v>
      </c>
      <c r="F20" s="24">
        <f ca="1">SUMPRODUCT(COUNTIFS(INDIRECT("'Geography'!A4:A1000"),"?*",INDIRECT("'Geography'!C4:C1000"),"Green"))</f>
        <v>1</v>
      </c>
      <c r="G20" s="24">
        <f ca="1">SUMPRODUCT(COUNTIFS(INDIRECT("'Geography'!A4:A1000"),"?*",INDIRECT("'Geography'!C4:C1000"),"Amber"))</f>
        <v>0</v>
      </c>
      <c r="H20" s="24">
        <f ca="1">SUMPRODUCT(COUNTIFS(INDIRECT("'Geography'!A4:A1000"),"?*",INDIRECT("'Geography'!C4:C1000"),"Red"))</f>
        <v>0</v>
      </c>
      <c r="I20" s="29" t="str">
        <f ca="1">IF(MAX(Geography!D4:D1000)=0, "-", IF(MAX(Geography!D4:D1000)=TODAY(), "Today", IF(TODAY()-MAX(Geography!D4:D1000)=1, "Yesterday", TODAY()-MAX(Geography!D4:D1000) &amp; " days ago")))</f>
        <v>Yesterday</v>
      </c>
    </row>
    <row r="21" spans="1:9" ht="24.95" customHeight="1" x14ac:dyDescent="0.25">
      <c r="A21" s="25" t="s">
        <v>16</v>
      </c>
      <c r="B21" s="26">
        <f ca="1">SUMPRODUCT(COUNTIFS(INDIRECT("'History'!A4:A1000"),"?*"))</f>
        <v>3</v>
      </c>
      <c r="C21" s="26">
        <f t="shared" ca="1" si="0"/>
        <v>2</v>
      </c>
      <c r="D21" s="26">
        <f ca="1">SUMPRODUCT(COUNTIFS(INDIRECT("'History'!A4:A1000"),"?*",INDIRECT("'History'!B4:B1000"),"In Progress"))</f>
        <v>1</v>
      </c>
      <c r="E21" s="26">
        <f ca="1">SUMPRODUCT(COUNTIFS(INDIRECT("'History'!A4:A1000"),"?*",INDIRECT("'History'!B4:B1000"),"Completed"))</f>
        <v>0</v>
      </c>
      <c r="F21" s="26">
        <f ca="1">SUMPRODUCT(COUNTIFS(INDIRECT("'History'!A4:A1000"),"?*",INDIRECT("'History'!C4:C1000"),"Green"))</f>
        <v>1</v>
      </c>
      <c r="G21" s="26">
        <f ca="1">SUMPRODUCT(COUNTIFS(INDIRECT("'History'!A4:A1000"),"?*",INDIRECT("'History'!C4:C1000"),"Amber"))</f>
        <v>0</v>
      </c>
      <c r="H21" s="26">
        <f ca="1">SUMPRODUCT(COUNTIFS(INDIRECT("'History'!A4:A1000"),"?*",INDIRECT("'History'!C4:C1000"),"Red"))</f>
        <v>0</v>
      </c>
      <c r="I21" s="30" t="str">
        <f ca="1">IF(MAX(History!D4:D1000)=0, "-", IF(MAX(History!D4:D1000)=TODAY(), "Today", IF(TODAY()-MAX(History!D4:D1000)=1, "Yesterday", TODAY()-MAX(History!D4:D1000) &amp; " days ago")))</f>
        <v>2 days ago</v>
      </c>
    </row>
    <row r="22" spans="1:9" ht="24.95" customHeight="1" x14ac:dyDescent="0.25">
      <c r="A22" s="23" t="s">
        <v>17</v>
      </c>
      <c r="B22" s="24">
        <f ca="1">SUMPRODUCT(COUNTIFS(INDIRECT("'Spanish'!A4:A1000"),"?*"))</f>
        <v>4</v>
      </c>
      <c r="C22" s="24">
        <f t="shared" ca="1" si="0"/>
        <v>3</v>
      </c>
      <c r="D22" s="24">
        <f ca="1">SUMPRODUCT(COUNTIFS(INDIRECT("'Spanish'!A4:A1000"),"?*",INDIRECT("'Spanish'!B4:B1000"),"In Progress"))</f>
        <v>1</v>
      </c>
      <c r="E22" s="24">
        <f ca="1">SUMPRODUCT(COUNTIFS(INDIRECT("'Spanish'!A4:A1000"),"?*",INDIRECT("'Spanish'!B4:B1000"),"Completed"))</f>
        <v>0</v>
      </c>
      <c r="F22" s="24">
        <f ca="1">SUMPRODUCT(COUNTIFS(INDIRECT("'Spanish'!A4:A1000"),"?*",INDIRECT("'Spanish'!C4:C1000"),"Green"))</f>
        <v>1</v>
      </c>
      <c r="G22" s="24">
        <f ca="1">SUMPRODUCT(COUNTIFS(INDIRECT("'Spanish'!A4:A1000"),"?*",INDIRECT("'Spanish'!C4:C1000"),"Amber"))</f>
        <v>0</v>
      </c>
      <c r="H22" s="24">
        <f ca="1">SUMPRODUCT(COUNTIFS(INDIRECT("'Spanish'!A4:A1000"),"?*",INDIRECT("'Spanish'!C4:C1000"),"Red"))</f>
        <v>0</v>
      </c>
      <c r="I22" s="29" t="str">
        <f ca="1">IF(MAX(Spanish!D4:D1000)=0, "-", IF(MAX(Spanish!D4:D1000)=TODAY(), "Today", IF(TODAY()-MAX(Spanish!D4:D1000)=1, "Yesterday", TODAY()-MAX(Spanish!D4:D1000) &amp; " days ago")))</f>
        <v>2 days ago</v>
      </c>
    </row>
    <row r="23" spans="1:9" ht="24.95" customHeight="1" x14ac:dyDescent="0.25">
      <c r="A23" s="25" t="s">
        <v>18</v>
      </c>
      <c r="B23" s="26">
        <f ca="1">SUMPRODUCT(COUNTIFS(INDIRECT("'Computer Science'!A4:A1000"),"?*"))</f>
        <v>8</v>
      </c>
      <c r="C23" s="26">
        <f t="shared" ca="1" si="0"/>
        <v>7</v>
      </c>
      <c r="D23" s="26">
        <f ca="1">SUMPRODUCT(COUNTIFS(INDIRECT("'Computer Science'!A4:A1000"),"?*",INDIRECT("'Computer Science'!B4:B1000"),"In Progress"))</f>
        <v>0</v>
      </c>
      <c r="E23" s="26">
        <f ca="1">SUMPRODUCT(COUNTIFS(INDIRECT("'Computer Science'!A4:A1000"),"?*",INDIRECT("'Computer Science'!B4:B1000"),"Completed"))</f>
        <v>1</v>
      </c>
      <c r="F23" s="26">
        <f ca="1">SUMPRODUCT(COUNTIFS(INDIRECT("'Computer Science'!A4:A1000"),"?*",INDIRECT("'Computer Science'!C4:C1000"),"Green"))</f>
        <v>0</v>
      </c>
      <c r="G23" s="26">
        <f ca="1">SUMPRODUCT(COUNTIFS(INDIRECT("'Computer Science'!A4:A1000"),"?*",INDIRECT("'Computer Science'!C4:C1000"),"Amber"))</f>
        <v>1</v>
      </c>
      <c r="H23" s="26">
        <f ca="1">SUMPRODUCT(COUNTIFS(INDIRECT("'Computer Science'!A4:A1000"),"?*",INDIRECT("'Computer Science'!C4:C1000"),"Red"))</f>
        <v>0</v>
      </c>
      <c r="I23" s="30" t="str">
        <f ca="1">IF(MAX('Computer Science'!D4:D1000)=0, "-", IF(MAX('Computer Science'!D4:D1000)=TODAY(), "Today", IF(TODAY()-MAX('Computer Science'!D4:D1000)=1, "Yesterday", TODAY()-MAX('Computer Science'!D4:D1000) &amp; " days ago")))</f>
        <v>Yesterday</v>
      </c>
    </row>
    <row r="26" spans="1:9" ht="18.75" customHeight="1" x14ac:dyDescent="0.3">
      <c r="A26" s="44" t="s">
        <v>24</v>
      </c>
      <c r="B26" s="43"/>
      <c r="C26" s="43"/>
      <c r="D26" s="43"/>
      <c r="E26" s="43"/>
      <c r="F26" s="43"/>
      <c r="G26" s="43"/>
      <c r="H26" s="43"/>
    </row>
    <row r="27" spans="1:9" x14ac:dyDescent="0.25">
      <c r="A27" s="46" t="s">
        <v>25</v>
      </c>
      <c r="B27" s="43"/>
      <c r="C27" s="43"/>
      <c r="D27" s="43"/>
      <c r="E27" s="43"/>
      <c r="F27" s="43"/>
      <c r="G27" s="43"/>
      <c r="H27" s="43"/>
    </row>
    <row r="28" spans="1:9" x14ac:dyDescent="0.25">
      <c r="A28" s="46" t="s">
        <v>26</v>
      </c>
      <c r="B28" s="43"/>
      <c r="C28" s="43"/>
      <c r="D28" s="43"/>
      <c r="E28" s="43"/>
      <c r="F28" s="43"/>
      <c r="G28" s="43"/>
      <c r="H28" s="43"/>
    </row>
    <row r="29" spans="1:9" x14ac:dyDescent="0.25">
      <c r="A29" s="46" t="s">
        <v>27</v>
      </c>
      <c r="B29" s="43"/>
      <c r="C29" s="43"/>
      <c r="D29" s="43"/>
      <c r="E29" s="43"/>
      <c r="F29" s="43"/>
      <c r="G29" s="43"/>
      <c r="H29" s="43"/>
    </row>
    <row r="30" spans="1:9" x14ac:dyDescent="0.25">
      <c r="A30" s="46" t="s">
        <v>28</v>
      </c>
      <c r="B30" s="43"/>
      <c r="C30" s="43"/>
      <c r="D30" s="43"/>
      <c r="E30" s="43"/>
      <c r="F30" s="43"/>
      <c r="G30" s="43"/>
      <c r="H30" s="43"/>
    </row>
  </sheetData>
  <mergeCells count="14">
    <mergeCell ref="A12:H12"/>
    <mergeCell ref="A1:K1"/>
    <mergeCell ref="A30:H30"/>
    <mergeCell ref="A26:H26"/>
    <mergeCell ref="A3:F3"/>
    <mergeCell ref="A29:H29"/>
    <mergeCell ref="A28:H28"/>
    <mergeCell ref="G6:H6"/>
    <mergeCell ref="C9:D9"/>
    <mergeCell ref="A9:B9"/>
    <mergeCell ref="A27:H27"/>
    <mergeCell ref="A6:B6"/>
    <mergeCell ref="E6:F6"/>
    <mergeCell ref="C6:D6"/>
  </mergeCells>
  <conditionalFormatting sqref="F14:F23">
    <cfRule type="cellIs" dxfId="123" priority="1" operator="greaterThan">
      <formula>0</formula>
    </cfRule>
  </conditionalFormatting>
  <conditionalFormatting sqref="G14:G23">
    <cfRule type="cellIs" dxfId="122" priority="2" operator="greaterThan">
      <formula>0</formula>
    </cfRule>
  </conditionalFormatting>
  <conditionalFormatting sqref="H14:H23">
    <cfRule type="cellIs" dxfId="121" priority="3" operator="greaterThan">
      <formula>0</formula>
    </cfRule>
  </conditionalFormatting>
  <conditionalFormatting sqref="I14:I23">
    <cfRule type="cellIs" dxfId="120" priority="4" stopIfTrue="1" operator="equal">
      <formula>"Today"</formula>
    </cfRule>
    <cfRule type="cellIs" dxfId="119" priority="5" stopIfTrue="1" operator="equal">
      <formula>"Yesterday"</formula>
    </cfRule>
    <cfRule type="cellIs" dxfId="118" priority="6" stopIfTrue="1" operator="equal">
      <formula>"-"</formula>
    </cfRule>
    <cfRule type="cellIs" dxfId="117" priority="7" stopIfTrue="1" operator="equal">
      <formula>"4 days ago"</formula>
    </cfRule>
    <cfRule type="cellIs" dxfId="116" priority="8" stopIfTrue="1" operator="equal">
      <formula>"5 days ago"</formula>
    </cfRule>
    <cfRule type="cellIs" dxfId="115" priority="9" stopIfTrue="1" operator="equal">
      <formula>"6 days ago"</formula>
    </cfRule>
    <cfRule type="cellIs" dxfId="114" priority="10" stopIfTrue="1" operator="equal">
      <formula>"7 days ago"</formula>
    </cfRule>
    <cfRule type="cellIs" dxfId="113" priority="11" stopIfTrue="1" operator="equal">
      <formula>"8 days ago"</formula>
    </cfRule>
    <cfRule type="cellIs" dxfId="112" priority="12" stopIfTrue="1" operator="equal">
      <formula>"9 days ago"</formula>
    </cfRule>
    <cfRule type="cellIs" dxfId="111" priority="13" stopIfTrue="1" operator="equal">
      <formula>"10 days ago"</formula>
    </cfRule>
    <cfRule type="cellIs" dxfId="110" priority="14" stopIfTrue="1" operator="equal">
      <formula>"11 days ago"</formula>
    </cfRule>
    <cfRule type="cellIs" dxfId="109" priority="15" stopIfTrue="1" operator="equal">
      <formula>"12 days ago"</formula>
    </cfRule>
    <cfRule type="cellIs" dxfId="108" priority="16" stopIfTrue="1" operator="equal">
      <formula>"13 days ago"</formula>
    </cfRule>
    <cfRule type="cellIs" dxfId="107" priority="17" stopIfTrue="1" operator="equal">
      <formula>"14 days ago"</formula>
    </cfRule>
    <cfRule type="cellIs" dxfId="106" priority="18" stopIfTrue="1" operator="equal">
      <formula>"15 days ago"</formula>
    </cfRule>
    <cfRule type="cellIs" dxfId="105" priority="19" stopIfTrue="1" operator="equal">
      <formula>"16 days ago"</formula>
    </cfRule>
    <cfRule type="cellIs" dxfId="104" priority="20" stopIfTrue="1" operator="equal">
      <formula>"17 days ago"</formula>
    </cfRule>
    <cfRule type="cellIs" dxfId="103" priority="21" stopIfTrue="1" operator="equal">
      <formula>"18 days ago"</formula>
    </cfRule>
    <cfRule type="cellIs" dxfId="102" priority="22" stopIfTrue="1" operator="equal">
      <formula>"19 days ago"</formula>
    </cfRule>
    <cfRule type="cellIs" dxfId="101" priority="23" stopIfTrue="1" operator="equal">
      <formula>"20 days ago"</formula>
    </cfRule>
    <cfRule type="cellIs" dxfId="100" priority="24" stopIfTrue="1" operator="equal">
      <formula>"21 days ago"</formula>
    </cfRule>
    <cfRule type="cellIs" dxfId="99" priority="25" stopIfTrue="1" operator="equal">
      <formula>"22 days ago"</formula>
    </cfRule>
    <cfRule type="cellIs" dxfId="98" priority="26" stopIfTrue="1" operator="equal">
      <formula>"23 days ago"</formula>
    </cfRule>
    <cfRule type="cellIs" dxfId="97" priority="27" stopIfTrue="1" operator="equal">
      <formula>"24 days ago"</formula>
    </cfRule>
    <cfRule type="cellIs" dxfId="96" priority="28" stopIfTrue="1" operator="equal">
      <formula>"25 days ago"</formula>
    </cfRule>
    <cfRule type="cellIs" dxfId="95" priority="29" stopIfTrue="1" operator="equal">
      <formula>"26 days ago"</formula>
    </cfRule>
    <cfRule type="cellIs" dxfId="94" priority="30" stopIfTrue="1" operator="equal">
      <formula>"27 days ago"</formula>
    </cfRule>
    <cfRule type="cellIs" dxfId="93" priority="31" stopIfTrue="1" operator="equal">
      <formula>"28 days ago"</formula>
    </cfRule>
    <cfRule type="cellIs" dxfId="92" priority="32" stopIfTrue="1" operator="equal">
      <formula>"29 days ago"</formula>
    </cfRule>
    <cfRule type="cellIs" dxfId="91" priority="33" stopIfTrue="1" operator="equal">
      <formula>"30 days ago"</formula>
    </cfRule>
    <cfRule type="cellIs" dxfId="90" priority="34" stopIfTrue="1" operator="equal">
      <formula>"31 days ago"</formula>
    </cfRule>
    <cfRule type="cellIs" dxfId="89" priority="35" stopIfTrue="1" operator="equal">
      <formula>"32 days ago"</formula>
    </cfRule>
    <cfRule type="cellIs" dxfId="88" priority="36" stopIfTrue="1" operator="equal">
      <formula>"33 days ago"</formula>
    </cfRule>
    <cfRule type="cellIs" dxfId="87" priority="37" stopIfTrue="1" operator="equal">
      <formula>"34 days ago"</formula>
    </cfRule>
    <cfRule type="cellIs" dxfId="86" priority="38" stopIfTrue="1" operator="equal">
      <formula>"35 days ago"</formula>
    </cfRule>
    <cfRule type="cellIs" dxfId="85" priority="39" stopIfTrue="1" operator="equal">
      <formula>"36 days ago"</formula>
    </cfRule>
    <cfRule type="cellIs" dxfId="84" priority="40" stopIfTrue="1" operator="equal">
      <formula>"37 days ago"</formula>
    </cfRule>
    <cfRule type="cellIs" dxfId="83" priority="41" stopIfTrue="1" operator="equal">
      <formula>"38 days ago"</formula>
    </cfRule>
    <cfRule type="cellIs" dxfId="82" priority="42" stopIfTrue="1" operator="equal">
      <formula>"39 days ago"</formula>
    </cfRule>
    <cfRule type="cellIs" dxfId="81" priority="43" stopIfTrue="1" operator="equal">
      <formula>"40 days ago"</formula>
    </cfRule>
    <cfRule type="cellIs" dxfId="80" priority="44" stopIfTrue="1" operator="equal">
      <formula>"41 days ago"</formula>
    </cfRule>
    <cfRule type="cellIs" dxfId="79" priority="45" stopIfTrue="1" operator="equal">
      <formula>"42 days ago"</formula>
    </cfRule>
    <cfRule type="cellIs" dxfId="78" priority="46" stopIfTrue="1" operator="equal">
      <formula>"43 days ago"</formula>
    </cfRule>
    <cfRule type="cellIs" dxfId="77" priority="47" stopIfTrue="1" operator="equal">
      <formula>"44 days ago"</formula>
    </cfRule>
    <cfRule type="cellIs" dxfId="76" priority="48" stopIfTrue="1" operator="equal">
      <formula>"45 days ago"</formula>
    </cfRule>
    <cfRule type="cellIs" dxfId="75" priority="49" stopIfTrue="1" operator="equal">
      <formula>"46 days ago"</formula>
    </cfRule>
    <cfRule type="cellIs" dxfId="74" priority="50" stopIfTrue="1" operator="equal">
      <formula>"47 days ago"</formula>
    </cfRule>
    <cfRule type="cellIs" dxfId="73" priority="51" stopIfTrue="1" operator="equal">
      <formula>"48 days ago"</formula>
    </cfRule>
    <cfRule type="cellIs" dxfId="72" priority="52" stopIfTrue="1" operator="equal">
      <formula>"49 days ago"</formula>
    </cfRule>
    <cfRule type="cellIs" dxfId="71" priority="53" stopIfTrue="1" operator="equal">
      <formula>"50 days ago"</formula>
    </cfRule>
    <cfRule type="cellIs" dxfId="70" priority="54" stopIfTrue="1" operator="equal">
      <formula>"51 days ago"</formula>
    </cfRule>
    <cfRule type="cellIs" dxfId="69" priority="55" stopIfTrue="1" operator="equal">
      <formula>"52 days ago"</formula>
    </cfRule>
    <cfRule type="cellIs" dxfId="68" priority="56" stopIfTrue="1" operator="equal">
      <formula>"53 days ago"</formula>
    </cfRule>
    <cfRule type="cellIs" dxfId="67" priority="57" stopIfTrue="1" operator="equal">
      <formula>"54 days ago"</formula>
    </cfRule>
    <cfRule type="cellIs" dxfId="66" priority="58" stopIfTrue="1" operator="equal">
      <formula>"55 days ago"</formula>
    </cfRule>
    <cfRule type="cellIs" dxfId="65" priority="59" stopIfTrue="1" operator="equal">
      <formula>"56 days ago"</formula>
    </cfRule>
    <cfRule type="cellIs" dxfId="64" priority="60" stopIfTrue="1" operator="equal">
      <formula>"57 days ago"</formula>
    </cfRule>
    <cfRule type="cellIs" dxfId="63" priority="61" stopIfTrue="1" operator="equal">
      <formula>"58 days ago"</formula>
    </cfRule>
    <cfRule type="cellIs" dxfId="62" priority="62" stopIfTrue="1" operator="equal">
      <formula>"59 days ago"</formula>
    </cfRule>
    <cfRule type="cellIs" dxfId="61" priority="63" stopIfTrue="1" operator="equal">
      <formula>"2 days ago"</formula>
    </cfRule>
    <cfRule type="cellIs" dxfId="60" priority="64" stopIfTrue="1" operator="equal">
      <formula>"3 days ago"</formula>
    </cfRule>
  </conditionalFormatting>
  <hyperlinks>
    <hyperlink ref="A14" location="'Biology'!A4" display="Biology" xr:uid="{0349109F-4BAF-4BDF-8B1C-9AE599A8D6EC}"/>
    <hyperlink ref="A15" location="'Chemistry'!A4" display="Chemistry" xr:uid="{E53CEB35-8360-4491-9D51-BE05A96C3677}"/>
    <hyperlink ref="A16" location="'Physics'!A4" display="Physics" xr:uid="{1148B904-6BC4-4105-ACB3-C1CF3AF4E04E}"/>
    <hyperlink ref="A17" location="'Mathematics'!A4" display="Mathematics" xr:uid="{C56B0711-69FE-4938-BC73-EF018A9EAC8C}"/>
    <hyperlink ref="A18" location="'English Language'!A4" display="English Language" xr:uid="{2A21F88B-EF79-4279-89B5-16E8E6BB56D1}"/>
    <hyperlink ref="A19" location="'English Literature'!A4" display="English Literature" xr:uid="{50679304-CA87-4BA0-BE1F-435A2838AFD9}"/>
    <hyperlink ref="A20" location="'Geography'!A4" display="Geography" xr:uid="{088F192C-DCF6-4271-A48F-E7F855795932}"/>
    <hyperlink ref="A21" location="'History'!A4" display="History" xr:uid="{4E898780-31B2-443F-8402-72ED2C3DFD09}"/>
    <hyperlink ref="A22" location="'Spanish'!A4" display="Spanish" xr:uid="{AD1DD75D-86CF-4DA9-B801-23C39D7A095A}"/>
    <hyperlink ref="A23" location="'Computer Science'!A4" display="Computer Science" xr:uid="{3C3204D2-FCC7-4B44-8E31-E949073AD937}"/>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showGridLines="0" zoomScaleNormal="100" workbookViewId="0">
      <pane ySplit="3" topLeftCell="A4" activePane="bottomLeft" state="frozen"/>
      <selection pane="bottomLeft" activeCell="F3" sqref="F3"/>
    </sheetView>
  </sheetViews>
  <sheetFormatPr defaultRowHeight="15" x14ac:dyDescent="0.25"/>
  <cols>
    <col min="1" max="1" width="30.85546875" customWidth="1"/>
    <col min="2" max="2" width="14" customWidth="1"/>
    <col min="3" max="3" width="19" customWidth="1"/>
    <col min="4" max="4" width="19.28515625" style="19" customWidth="1"/>
    <col min="5" max="5" width="38" customWidth="1"/>
    <col min="6" max="6" width="55.7109375" customWidth="1"/>
  </cols>
  <sheetData>
    <row r="1" spans="1:6" ht="32.1" customHeight="1" x14ac:dyDescent="0.25">
      <c r="A1" s="42" t="s">
        <v>29</v>
      </c>
      <c r="B1" s="43"/>
      <c r="C1" s="43"/>
      <c r="D1" s="43"/>
      <c r="E1" s="43"/>
    </row>
    <row r="2" spans="1:6" ht="18" customHeight="1" x14ac:dyDescent="0.25">
      <c r="A2" s="32" t="s">
        <v>30</v>
      </c>
      <c r="B2" s="1"/>
      <c r="C2" s="1"/>
      <c r="D2" s="17"/>
      <c r="E2" s="1"/>
    </row>
    <row r="3" spans="1:6" ht="26.1" customHeight="1" x14ac:dyDescent="0.25">
      <c r="A3" s="8" t="s">
        <v>31</v>
      </c>
      <c r="B3" s="8" t="s">
        <v>32</v>
      </c>
      <c r="C3" s="8" t="s">
        <v>33</v>
      </c>
      <c r="D3" s="18" t="s">
        <v>23</v>
      </c>
      <c r="E3" s="8" t="s">
        <v>34</v>
      </c>
      <c r="F3" s="36" t="s">
        <v>130</v>
      </c>
    </row>
    <row r="4" spans="1:6" ht="99.75" customHeight="1" x14ac:dyDescent="0.25">
      <c r="A4" s="9" t="s">
        <v>35</v>
      </c>
      <c r="B4" s="10" t="s">
        <v>9</v>
      </c>
      <c r="C4" s="10" t="s">
        <v>22</v>
      </c>
      <c r="D4" s="11">
        <v>46313</v>
      </c>
      <c r="E4" s="37" t="s">
        <v>36</v>
      </c>
      <c r="F4" s="39"/>
    </row>
    <row r="5" spans="1:6" ht="71.25" customHeight="1" x14ac:dyDescent="0.25">
      <c r="A5" s="35" t="s">
        <v>37</v>
      </c>
      <c r="B5" s="10" t="s">
        <v>9</v>
      </c>
      <c r="C5" s="10" t="s">
        <v>22</v>
      </c>
      <c r="D5" s="11">
        <v>46316</v>
      </c>
      <c r="E5" s="37" t="s">
        <v>38</v>
      </c>
      <c r="F5" s="39"/>
    </row>
    <row r="6" spans="1:6" ht="99" customHeight="1" x14ac:dyDescent="0.25">
      <c r="A6" s="9" t="s">
        <v>39</v>
      </c>
      <c r="B6" s="10"/>
      <c r="C6" s="10"/>
      <c r="D6" s="11"/>
      <c r="E6" s="37"/>
      <c r="F6" s="39"/>
    </row>
    <row r="7" spans="1:6" ht="106.5" customHeight="1" x14ac:dyDescent="0.25">
      <c r="A7" s="9" t="s">
        <v>40</v>
      </c>
      <c r="B7" s="10"/>
      <c r="C7" s="10"/>
      <c r="D7" s="11"/>
      <c r="E7" s="37"/>
      <c r="F7" s="39"/>
    </row>
    <row r="8" spans="1:6" ht="108" customHeight="1" x14ac:dyDescent="0.25">
      <c r="A8" s="9" t="s">
        <v>41</v>
      </c>
      <c r="B8" s="10"/>
      <c r="C8" s="10"/>
      <c r="D8" s="11"/>
      <c r="E8" s="37"/>
      <c r="F8" s="39"/>
    </row>
    <row r="9" spans="1:6" ht="66" customHeight="1" x14ac:dyDescent="0.25">
      <c r="A9" s="9" t="s">
        <v>42</v>
      </c>
      <c r="B9" s="10"/>
      <c r="C9" s="10"/>
      <c r="D9" s="11"/>
      <c r="E9" s="37"/>
      <c r="F9" s="39"/>
    </row>
    <row r="10" spans="1:6" ht="75" customHeight="1" x14ac:dyDescent="0.25">
      <c r="A10" s="9" t="s">
        <v>43</v>
      </c>
      <c r="B10" s="10"/>
      <c r="C10" s="10"/>
      <c r="D10" s="11"/>
      <c r="E10" s="37"/>
      <c r="F10" s="39"/>
    </row>
    <row r="11" spans="1:6" ht="99" customHeight="1" x14ac:dyDescent="0.25">
      <c r="A11" s="9" t="s">
        <v>44</v>
      </c>
      <c r="B11" s="10"/>
      <c r="C11" s="10"/>
      <c r="D11" s="11"/>
      <c r="E11" s="37"/>
      <c r="F11" s="39"/>
    </row>
    <row r="12" spans="1:6" ht="45.75" customHeight="1" x14ac:dyDescent="0.25">
      <c r="A12" s="9"/>
      <c r="B12" s="10"/>
      <c r="C12" s="10"/>
      <c r="D12" s="11"/>
      <c r="E12" s="37"/>
      <c r="F12" s="39"/>
    </row>
    <row r="13" spans="1:6" ht="24" customHeight="1" x14ac:dyDescent="0.25">
      <c r="A13" s="9"/>
      <c r="B13" s="10"/>
      <c r="C13" s="10"/>
      <c r="D13" s="11"/>
      <c r="E13" s="37"/>
      <c r="F13" s="39"/>
    </row>
    <row r="14" spans="1:6" ht="24" customHeight="1" x14ac:dyDescent="0.25">
      <c r="A14" s="9"/>
      <c r="B14" s="10"/>
      <c r="C14" s="10"/>
      <c r="D14" s="11"/>
      <c r="E14" s="37"/>
      <c r="F14" s="39"/>
    </row>
    <row r="15" spans="1:6" ht="24" customHeight="1" x14ac:dyDescent="0.25">
      <c r="A15" s="9"/>
      <c r="B15" s="10"/>
      <c r="C15" s="10"/>
      <c r="D15" s="11"/>
      <c r="E15" s="37"/>
      <c r="F15" s="39"/>
    </row>
    <row r="16" spans="1:6" ht="24" customHeight="1" x14ac:dyDescent="0.25">
      <c r="A16" s="9"/>
      <c r="B16" s="10"/>
      <c r="C16" s="10"/>
      <c r="D16" s="11"/>
      <c r="E16" s="37"/>
      <c r="F16" s="39"/>
    </row>
    <row r="17" spans="1:6" ht="24" customHeight="1" x14ac:dyDescent="0.25">
      <c r="A17" s="9"/>
      <c r="B17" s="10"/>
      <c r="C17" s="10"/>
      <c r="D17" s="11"/>
      <c r="E17" s="37"/>
      <c r="F17" s="39"/>
    </row>
    <row r="18" spans="1:6" ht="24" customHeight="1" x14ac:dyDescent="0.25">
      <c r="A18" s="9"/>
      <c r="B18" s="10"/>
      <c r="C18" s="10"/>
      <c r="D18" s="11"/>
      <c r="E18" s="37"/>
      <c r="F18" s="38"/>
    </row>
    <row r="19" spans="1:6" ht="24" customHeight="1" x14ac:dyDescent="0.25">
      <c r="A19" s="2"/>
      <c r="B19" s="3"/>
      <c r="C19" s="3"/>
      <c r="D19" s="4"/>
      <c r="E19" s="2"/>
      <c r="F19" s="1"/>
    </row>
    <row r="20" spans="1:6" ht="24" customHeight="1" x14ac:dyDescent="0.25">
      <c r="A20" s="2"/>
      <c r="B20" s="3"/>
      <c r="C20" s="3"/>
      <c r="D20" s="4"/>
      <c r="E20" s="2"/>
      <c r="F20" s="1"/>
    </row>
    <row r="21" spans="1:6" ht="24" customHeight="1" x14ac:dyDescent="0.25">
      <c r="A21" s="2"/>
      <c r="B21" s="3"/>
      <c r="C21" s="3"/>
      <c r="D21" s="4"/>
      <c r="E21" s="2"/>
      <c r="F21" s="1"/>
    </row>
    <row r="22" spans="1:6" ht="24" customHeight="1" x14ac:dyDescent="0.25">
      <c r="A22" s="2"/>
      <c r="B22" s="3"/>
      <c r="C22" s="3"/>
      <c r="D22" s="4"/>
      <c r="E22" s="2"/>
      <c r="F22" s="1"/>
    </row>
    <row r="23" spans="1:6" ht="24" customHeight="1" x14ac:dyDescent="0.25">
      <c r="A23" s="2"/>
      <c r="B23" s="3"/>
      <c r="C23" s="3"/>
      <c r="D23" s="4"/>
      <c r="E23" s="2"/>
      <c r="F23" s="1"/>
    </row>
    <row r="24" spans="1:6" ht="24" customHeight="1" x14ac:dyDescent="0.25">
      <c r="A24" s="2"/>
      <c r="B24" s="3"/>
      <c r="C24" s="3"/>
      <c r="D24" s="4"/>
      <c r="E24" s="2"/>
      <c r="F24" s="1"/>
    </row>
    <row r="25" spans="1:6" ht="24" customHeight="1" x14ac:dyDescent="0.25">
      <c r="A25" s="2"/>
      <c r="B25" s="3"/>
      <c r="C25" s="3"/>
      <c r="D25" s="4"/>
      <c r="E25" s="2"/>
      <c r="F25" s="1"/>
    </row>
    <row r="26" spans="1:6" ht="24" customHeight="1" x14ac:dyDescent="0.25">
      <c r="A26" s="2"/>
      <c r="B26" s="3"/>
      <c r="C26" s="3"/>
      <c r="D26" s="4"/>
      <c r="E26" s="2"/>
      <c r="F26" s="1"/>
    </row>
    <row r="27" spans="1:6" ht="24" customHeight="1" x14ac:dyDescent="0.25">
      <c r="A27" s="2"/>
      <c r="B27" s="3"/>
      <c r="C27" s="3"/>
      <c r="D27" s="4"/>
      <c r="E27" s="2"/>
      <c r="F27" s="1"/>
    </row>
  </sheetData>
  <mergeCells count="1">
    <mergeCell ref="A1:E1"/>
  </mergeCells>
  <conditionalFormatting sqref="B4:B18">
    <cfRule type="cellIs" dxfId="59" priority="5" operator="equal">
      <formula>"Not Started"</formula>
    </cfRule>
    <cfRule type="cellIs" dxfId="58" priority="6" operator="equal">
      <formula>"In Progress"</formula>
    </cfRule>
    <cfRule type="cellIs" dxfId="57" priority="7" operator="equal">
      <formula>"Completed"</formula>
    </cfRule>
  </conditionalFormatting>
  <conditionalFormatting sqref="C4:C18">
    <cfRule type="cellIs" dxfId="56" priority="1" operator="equal">
      <formula>"Green"</formula>
    </cfRule>
    <cfRule type="cellIs" dxfId="55" priority="2" operator="equal">
      <formula>"Amber"</formula>
    </cfRule>
    <cfRule type="cellIs" dxfId="54" priority="3" operator="equal">
      <formula>"Red"</formula>
    </cfRule>
  </conditionalFormatting>
  <dataValidations count="3">
    <dataValidation type="list" allowBlank="1" sqref="B4:B18" xr:uid="{00000000-0002-0000-0100-000000000000}">
      <formula1>"Not Started,In Progress,Completed"</formula1>
    </dataValidation>
    <dataValidation type="list" allowBlank="1" sqref="E4:E18" xr:uid="{00000000-0002-0000-0100-000002000000}">
      <formula1>"Quick active recall,Test key definitions,Practise examination questions,Review knowledge gaps,Practise calculations,Recall a case study,Test vocabulary,Practise a 16-mark question,Practise equations,Translate sentences"</formula1>
    </dataValidation>
    <dataValidation type="list" allowBlank="1" showInputMessage="1" showErrorMessage="1" sqref="C4:C1000" xr:uid="{52DDAFB8-BF9B-4F5D-A8ED-9DC855F98BAD}">
      <formula1>"Green,Amber,Red"</formula1>
    </dataValidation>
  </dataValidations>
  <hyperlinks>
    <hyperlink ref="A2" location="'Dashboard'!A1" display="&lt; Return to Dashboard" xr:uid="{8A03291B-F8D4-418A-93F5-59B218A2B237}"/>
  </hyperlink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8"/>
  <sheetViews>
    <sheetView showGridLines="0" tabSelected="1" workbookViewId="0">
      <pane ySplit="3" topLeftCell="A4" activePane="bottomLeft" state="frozen"/>
      <selection pane="bottomLeft" activeCell="F5" sqref="F5"/>
    </sheetView>
  </sheetViews>
  <sheetFormatPr defaultRowHeight="15" x14ac:dyDescent="0.25"/>
  <cols>
    <col min="1" max="1" width="36" customWidth="1"/>
    <col min="2" max="3" width="14" customWidth="1"/>
    <col min="4" max="4" width="15" style="19" customWidth="1"/>
    <col min="5" max="5" width="38" customWidth="1"/>
    <col min="6" max="6" width="55.7109375" customWidth="1"/>
  </cols>
  <sheetData>
    <row r="1" spans="1:6" ht="32.1" customHeight="1" x14ac:dyDescent="0.25">
      <c r="A1" s="54" t="s">
        <v>45</v>
      </c>
      <c r="B1" s="43"/>
      <c r="C1" s="43"/>
      <c r="D1" s="43"/>
      <c r="E1" s="43"/>
    </row>
    <row r="2" spans="1:6" ht="18" customHeight="1" x14ac:dyDescent="0.25">
      <c r="A2" s="33" t="s">
        <v>30</v>
      </c>
    </row>
    <row r="3" spans="1:6" ht="26.1" customHeight="1" x14ac:dyDescent="0.25">
      <c r="A3" s="7" t="s">
        <v>31</v>
      </c>
      <c r="B3" s="7" t="s">
        <v>32</v>
      </c>
      <c r="C3" s="7" t="s">
        <v>33</v>
      </c>
      <c r="D3" s="20" t="s">
        <v>23</v>
      </c>
      <c r="E3" s="7" t="s">
        <v>34</v>
      </c>
      <c r="F3" s="7" t="s">
        <v>130</v>
      </c>
    </row>
    <row r="4" spans="1:6" ht="42.75" customHeight="1" x14ac:dyDescent="0.25">
      <c r="A4" s="2" t="s">
        <v>46</v>
      </c>
      <c r="B4" s="3" t="s">
        <v>9</v>
      </c>
      <c r="C4" s="3" t="s">
        <v>22</v>
      </c>
      <c r="D4" s="4">
        <v>46315</v>
      </c>
      <c r="E4" s="41" t="s">
        <v>47</v>
      </c>
      <c r="F4" s="39"/>
    </row>
    <row r="5" spans="1:6" ht="84.75" customHeight="1" x14ac:dyDescent="0.25">
      <c r="A5" s="2" t="s">
        <v>48</v>
      </c>
      <c r="B5" s="3"/>
      <c r="C5" s="3"/>
      <c r="D5" s="4"/>
      <c r="E5" s="37" t="s">
        <v>49</v>
      </c>
      <c r="F5" s="39"/>
    </row>
    <row r="6" spans="1:6" ht="35.25" customHeight="1" x14ac:dyDescent="0.25">
      <c r="A6" s="2" t="s">
        <v>50</v>
      </c>
      <c r="B6" s="3"/>
      <c r="C6" s="3"/>
      <c r="D6" s="4"/>
      <c r="E6" s="41"/>
      <c r="F6" s="39"/>
    </row>
    <row r="7" spans="1:6" ht="39.75" customHeight="1" x14ac:dyDescent="0.25">
      <c r="A7" s="2" t="s">
        <v>51</v>
      </c>
      <c r="B7" s="3"/>
      <c r="C7" s="3"/>
      <c r="D7" s="4"/>
      <c r="E7" s="41"/>
      <c r="F7" s="39"/>
    </row>
    <row r="8" spans="1:6" ht="37.5" customHeight="1" x14ac:dyDescent="0.25">
      <c r="A8" s="2" t="s">
        <v>52</v>
      </c>
      <c r="B8" s="3"/>
      <c r="C8" s="3"/>
      <c r="D8" s="4"/>
      <c r="E8" s="41"/>
      <c r="F8" s="39"/>
    </row>
    <row r="9" spans="1:6" ht="33" customHeight="1" x14ac:dyDescent="0.25">
      <c r="A9" s="2" t="s">
        <v>53</v>
      </c>
      <c r="B9" s="3"/>
      <c r="C9" s="3"/>
      <c r="D9" s="4"/>
      <c r="E9" s="41"/>
      <c r="F9" s="39"/>
    </row>
    <row r="10" spans="1:6" ht="33" customHeight="1" x14ac:dyDescent="0.25">
      <c r="A10" s="2" t="s">
        <v>54</v>
      </c>
      <c r="B10" s="3"/>
      <c r="C10" s="3"/>
      <c r="D10" s="4"/>
      <c r="E10" s="41"/>
      <c r="F10" s="39"/>
    </row>
    <row r="11" spans="1:6" ht="39" customHeight="1" x14ac:dyDescent="0.25">
      <c r="A11" s="2" t="s">
        <v>55</v>
      </c>
      <c r="B11" s="3"/>
      <c r="C11" s="3"/>
      <c r="D11" s="4"/>
      <c r="E11" s="41"/>
      <c r="F11" s="39"/>
    </row>
    <row r="12" spans="1:6" ht="36.75" customHeight="1" x14ac:dyDescent="0.25">
      <c r="A12" s="2" t="s">
        <v>56</v>
      </c>
      <c r="B12" s="3"/>
      <c r="C12" s="3"/>
      <c r="D12" s="4"/>
      <c r="E12" s="41"/>
      <c r="F12" s="39"/>
    </row>
    <row r="13" spans="1:6" ht="24" customHeight="1" x14ac:dyDescent="0.25">
      <c r="A13" s="2" t="s">
        <v>57</v>
      </c>
      <c r="B13" s="3"/>
      <c r="C13" s="3"/>
      <c r="D13" s="4"/>
      <c r="E13" s="41"/>
      <c r="F13" s="39"/>
    </row>
    <row r="14" spans="1:6" ht="24" customHeight="1" x14ac:dyDescent="0.25">
      <c r="A14" s="2"/>
      <c r="B14" s="3"/>
      <c r="C14" s="3"/>
      <c r="D14" s="4"/>
      <c r="E14" s="41"/>
      <c r="F14" s="39"/>
    </row>
    <row r="15" spans="1:6" ht="24" customHeight="1" x14ac:dyDescent="0.25">
      <c r="A15" s="2"/>
      <c r="B15" s="3"/>
      <c r="C15" s="3"/>
      <c r="D15" s="4"/>
      <c r="E15" s="41"/>
      <c r="F15" s="39"/>
    </row>
    <row r="16" spans="1:6" ht="24" customHeight="1" x14ac:dyDescent="0.25">
      <c r="A16" s="2"/>
      <c r="B16" s="3"/>
      <c r="C16" s="3"/>
      <c r="D16" s="4"/>
      <c r="E16" s="41"/>
      <c r="F16" s="39"/>
    </row>
    <row r="17" spans="1:6" ht="24" customHeight="1" x14ac:dyDescent="0.25">
      <c r="A17" s="2"/>
      <c r="B17" s="3"/>
      <c r="C17" s="3"/>
      <c r="D17" s="4"/>
      <c r="E17" s="41"/>
      <c r="F17" s="39"/>
    </row>
    <row r="18" spans="1:6" ht="24" customHeight="1" x14ac:dyDescent="0.25">
      <c r="A18" s="2"/>
      <c r="B18" s="3"/>
      <c r="C18" s="3"/>
      <c r="D18" s="4"/>
      <c r="E18" s="41"/>
      <c r="F18" s="39"/>
    </row>
  </sheetData>
  <mergeCells count="1">
    <mergeCell ref="A1:E1"/>
  </mergeCells>
  <conditionalFormatting sqref="B4:B18">
    <cfRule type="cellIs" dxfId="53" priority="5" operator="equal">
      <formula>"Not Started"</formula>
    </cfRule>
    <cfRule type="cellIs" dxfId="52" priority="6" operator="equal">
      <formula>"In Progress"</formula>
    </cfRule>
    <cfRule type="cellIs" dxfId="51" priority="7" operator="equal">
      <formula>"Completed"</formula>
    </cfRule>
  </conditionalFormatting>
  <conditionalFormatting sqref="C4:C18">
    <cfRule type="cellIs" dxfId="50" priority="1" operator="equal">
      <formula>"Green"</formula>
    </cfRule>
    <cfRule type="cellIs" dxfId="49" priority="2" operator="equal">
      <formula>"Amber"</formula>
    </cfRule>
    <cfRule type="cellIs" dxfId="48" priority="3" operator="equal">
      <formula>"Red"</formula>
    </cfRule>
  </conditionalFormatting>
  <dataValidations count="3">
    <dataValidation type="list" allowBlank="1" sqref="B4:B18" xr:uid="{00000000-0002-0000-0200-000000000000}">
      <formula1>"Not Started,In Progress,Completed"</formula1>
    </dataValidation>
    <dataValidation type="list" allowBlank="1" sqref="E4:E18" xr:uid="{00000000-0002-0000-0200-000002000000}">
      <formula1>"Quick active recall,Test key definitions,Practise examination questions,Review knowledge gaps,Practise calculations,Recall a case study,Test vocabulary,Practise a 16-mark question,Practise equations,Translate sentences"</formula1>
    </dataValidation>
    <dataValidation type="list" allowBlank="1" showInputMessage="1" showErrorMessage="1" sqref="C4:C1000" xr:uid="{0E06F1AA-5F0C-45A1-A46C-CC888BD2EA15}">
      <formula1>"Green,Amber,Red"</formula1>
    </dataValidation>
  </dataValidations>
  <hyperlinks>
    <hyperlink ref="A2" location="'Dashboard'!A1" display="&lt; Return to Dashboard" xr:uid="{A1561012-92F3-4FD4-A7F0-0E0081A70D27}"/>
  </hyperlink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showGridLines="0" workbookViewId="0">
      <pane ySplit="3" topLeftCell="A6" activePane="bottomLeft" state="frozen"/>
      <selection pane="bottomLeft" activeCell="A4" sqref="A4"/>
    </sheetView>
  </sheetViews>
  <sheetFormatPr defaultRowHeight="15" x14ac:dyDescent="0.25"/>
  <cols>
    <col min="1" max="1" width="36" customWidth="1"/>
    <col min="2" max="3" width="14" customWidth="1"/>
    <col min="4" max="4" width="21.140625" style="19" customWidth="1"/>
    <col min="5" max="5" width="38" customWidth="1"/>
    <col min="6" max="6" width="55.7109375" customWidth="1"/>
  </cols>
  <sheetData>
    <row r="1" spans="1:6" ht="32.1" customHeight="1" x14ac:dyDescent="0.25">
      <c r="A1" s="54" t="s">
        <v>58</v>
      </c>
      <c r="B1" s="43"/>
      <c r="C1" s="43"/>
      <c r="D1" s="43"/>
      <c r="E1" s="43"/>
    </row>
    <row r="2" spans="1:6" ht="18" customHeight="1" x14ac:dyDescent="0.25">
      <c r="A2" s="34" t="s">
        <v>30</v>
      </c>
    </row>
    <row r="3" spans="1:6" ht="26.1" customHeight="1" x14ac:dyDescent="0.25">
      <c r="A3" s="7" t="s">
        <v>31</v>
      </c>
      <c r="B3" s="7" t="s">
        <v>32</v>
      </c>
      <c r="C3" s="7" t="s">
        <v>33</v>
      </c>
      <c r="D3" s="20" t="s">
        <v>23</v>
      </c>
      <c r="E3" s="7" t="s">
        <v>34</v>
      </c>
      <c r="F3" s="40" t="s">
        <v>130</v>
      </c>
    </row>
    <row r="4" spans="1:6" ht="76.5" customHeight="1" x14ac:dyDescent="0.25">
      <c r="A4" s="9" t="s">
        <v>59</v>
      </c>
      <c r="B4" s="10" t="s">
        <v>9</v>
      </c>
      <c r="C4" s="10" t="s">
        <v>22</v>
      </c>
      <c r="D4" s="11">
        <v>46314</v>
      </c>
      <c r="E4" s="37" t="s">
        <v>60</v>
      </c>
      <c r="F4" s="39"/>
    </row>
    <row r="5" spans="1:6" ht="50.25" customHeight="1" x14ac:dyDescent="0.25">
      <c r="A5" s="9" t="s">
        <v>61</v>
      </c>
      <c r="B5" s="10"/>
      <c r="C5" s="10"/>
      <c r="D5" s="11"/>
      <c r="E5" s="37"/>
      <c r="F5" s="39"/>
    </row>
    <row r="6" spans="1:6" ht="36.75" customHeight="1" x14ac:dyDescent="0.3">
      <c r="A6" s="5" t="s">
        <v>62</v>
      </c>
      <c r="B6" s="10"/>
      <c r="C6" s="10"/>
      <c r="D6" s="11"/>
      <c r="E6" s="37"/>
      <c r="F6" s="39"/>
    </row>
    <row r="7" spans="1:6" ht="37.5" customHeight="1" x14ac:dyDescent="0.25">
      <c r="A7" s="9" t="s">
        <v>63</v>
      </c>
      <c r="B7" s="10"/>
      <c r="C7" s="10"/>
      <c r="D7" s="11"/>
      <c r="E7" s="37"/>
      <c r="F7" s="39"/>
    </row>
    <row r="8" spans="1:6" ht="30" customHeight="1" x14ac:dyDescent="0.25">
      <c r="A8" s="9" t="s">
        <v>64</v>
      </c>
      <c r="B8" s="10"/>
      <c r="C8" s="10"/>
      <c r="D8" s="11"/>
      <c r="E8" s="37"/>
      <c r="F8" s="39"/>
    </row>
    <row r="9" spans="1:6" ht="37.5" customHeight="1" x14ac:dyDescent="0.25">
      <c r="A9" s="9" t="s">
        <v>65</v>
      </c>
      <c r="B9" s="10"/>
      <c r="C9" s="10"/>
      <c r="D9" s="11"/>
      <c r="E9" s="37"/>
      <c r="F9" s="39"/>
    </row>
    <row r="10" spans="1:6" ht="52.5" customHeight="1" x14ac:dyDescent="0.25">
      <c r="A10" s="9" t="s">
        <v>66</v>
      </c>
      <c r="B10" s="10"/>
      <c r="C10" s="10"/>
      <c r="D10" s="11"/>
      <c r="E10" s="37"/>
      <c r="F10" s="39"/>
    </row>
    <row r="11" spans="1:6" ht="35.25" customHeight="1" x14ac:dyDescent="0.25">
      <c r="A11" s="9" t="s">
        <v>67</v>
      </c>
      <c r="B11" s="10"/>
      <c r="C11" s="10"/>
      <c r="D11" s="11"/>
      <c r="E11" s="37"/>
      <c r="F11" s="39"/>
    </row>
    <row r="12" spans="1:6" ht="38.25" customHeight="1" x14ac:dyDescent="0.25">
      <c r="A12" s="9" t="s">
        <v>68</v>
      </c>
      <c r="B12" s="10"/>
      <c r="C12" s="10"/>
      <c r="D12" s="11"/>
      <c r="E12" s="37"/>
      <c r="F12" s="39"/>
    </row>
    <row r="13" spans="1:6" ht="30.75" customHeight="1" x14ac:dyDescent="0.25">
      <c r="A13" s="9" t="s">
        <v>69</v>
      </c>
      <c r="B13" s="10"/>
      <c r="C13" s="10"/>
      <c r="D13" s="11"/>
      <c r="E13" s="37"/>
      <c r="F13" s="39"/>
    </row>
    <row r="14" spans="1:6" ht="33.75" customHeight="1" x14ac:dyDescent="0.25">
      <c r="A14" s="9" t="s">
        <v>70</v>
      </c>
      <c r="B14" s="10"/>
      <c r="C14" s="10"/>
      <c r="D14" s="11"/>
      <c r="E14" s="37"/>
      <c r="F14" s="39"/>
    </row>
    <row r="15" spans="1:6" ht="24" customHeight="1" x14ac:dyDescent="0.25">
      <c r="A15" s="9"/>
      <c r="B15" s="10"/>
      <c r="C15" s="10"/>
      <c r="D15" s="11"/>
      <c r="E15" s="37"/>
      <c r="F15" s="39"/>
    </row>
    <row r="16" spans="1:6" ht="24" customHeight="1" x14ac:dyDescent="0.25">
      <c r="A16" s="9"/>
      <c r="B16" s="10"/>
      <c r="C16" s="10"/>
      <c r="D16" s="11"/>
      <c r="E16" s="37"/>
      <c r="F16" s="39"/>
    </row>
    <row r="17" spans="1:6" ht="24" customHeight="1" x14ac:dyDescent="0.25">
      <c r="A17" s="9"/>
      <c r="B17" s="10"/>
      <c r="C17" s="10"/>
      <c r="D17" s="11"/>
      <c r="E17" s="37"/>
      <c r="F17" s="39"/>
    </row>
    <row r="18" spans="1:6" ht="24" customHeight="1" x14ac:dyDescent="0.25">
      <c r="A18" s="9"/>
      <c r="B18" s="10"/>
      <c r="C18" s="10"/>
      <c r="D18" s="11"/>
      <c r="E18" s="37"/>
      <c r="F18" s="38"/>
    </row>
  </sheetData>
  <mergeCells count="1">
    <mergeCell ref="A1:E1"/>
  </mergeCells>
  <conditionalFormatting sqref="B4:B18">
    <cfRule type="cellIs" dxfId="47" priority="5" operator="equal">
      <formula>"Not Started"</formula>
    </cfRule>
    <cfRule type="cellIs" dxfId="46" priority="6" operator="equal">
      <formula>"In Progress"</formula>
    </cfRule>
    <cfRule type="cellIs" dxfId="45" priority="7" operator="equal">
      <formula>"Completed"</formula>
    </cfRule>
  </conditionalFormatting>
  <conditionalFormatting sqref="C4:C18">
    <cfRule type="cellIs" dxfId="44" priority="1" operator="equal">
      <formula>"Green"</formula>
    </cfRule>
    <cfRule type="cellIs" dxfId="43" priority="2" operator="equal">
      <formula>"Amber"</formula>
    </cfRule>
    <cfRule type="cellIs" dxfId="42" priority="3" operator="equal">
      <formula>"Red"</formula>
    </cfRule>
  </conditionalFormatting>
  <dataValidations count="3">
    <dataValidation type="list" allowBlank="1" sqref="B4:B18" xr:uid="{00000000-0002-0000-0300-000000000000}">
      <formula1>"Not Started,In Progress,Completed"</formula1>
    </dataValidation>
    <dataValidation type="list" allowBlank="1" sqref="E4:E18" xr:uid="{00000000-0002-0000-0300-000002000000}">
      <formula1>"Quick active recall,Test key definitions,Practise examination questions,Review knowledge gaps,Practise calculations,Recall a case study,Test vocabulary,Practise a 16-mark question,Practise equations,Translate sentences"</formula1>
    </dataValidation>
    <dataValidation type="list" allowBlank="1" showInputMessage="1" showErrorMessage="1" sqref="C4:C1000" xr:uid="{D4180FD0-0835-4EF4-822A-BC58AA955CD9}">
      <formula1>"Green,Amber,Red"</formula1>
    </dataValidation>
  </dataValidations>
  <hyperlinks>
    <hyperlink ref="A2" location="'Dashboard'!A1" display="&lt; Return to Dashboard" xr:uid="{819B6490-FF39-422C-83F2-9F2DE21C0B40}"/>
  </hyperlink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8"/>
  <sheetViews>
    <sheetView showGridLines="0" workbookViewId="0">
      <pane ySplit="3" topLeftCell="A4" activePane="bottomLeft" state="frozen"/>
      <selection pane="bottomLeft" activeCell="M16" sqref="M16"/>
    </sheetView>
  </sheetViews>
  <sheetFormatPr defaultRowHeight="15" x14ac:dyDescent="0.25"/>
  <cols>
    <col min="1" max="1" width="36" customWidth="1"/>
    <col min="2" max="2" width="18.5703125" customWidth="1"/>
    <col min="3" max="3" width="16" customWidth="1"/>
    <col min="4" max="4" width="20" style="19" customWidth="1"/>
    <col min="5" max="5" width="38" customWidth="1"/>
    <col min="6" max="6" width="55.7109375" customWidth="1"/>
  </cols>
  <sheetData>
    <row r="1" spans="1:6" ht="32.1" customHeight="1" x14ac:dyDescent="0.25">
      <c r="A1" s="54" t="s">
        <v>71</v>
      </c>
      <c r="B1" s="43"/>
      <c r="C1" s="43"/>
      <c r="D1" s="43"/>
      <c r="E1" s="43"/>
    </row>
    <row r="2" spans="1:6" ht="18" customHeight="1" x14ac:dyDescent="0.25">
      <c r="A2" s="34" t="s">
        <v>30</v>
      </c>
    </row>
    <row r="3" spans="1:6" ht="26.1" customHeight="1" x14ac:dyDescent="0.25">
      <c r="A3" s="8" t="s">
        <v>31</v>
      </c>
      <c r="B3" s="8" t="s">
        <v>32</v>
      </c>
      <c r="C3" s="8" t="s">
        <v>33</v>
      </c>
      <c r="D3" s="18" t="s">
        <v>23</v>
      </c>
      <c r="E3" s="8" t="s">
        <v>34</v>
      </c>
      <c r="F3" s="36" t="s">
        <v>130</v>
      </c>
    </row>
    <row r="4" spans="1:6" ht="66" customHeight="1" x14ac:dyDescent="0.25">
      <c r="A4" s="9" t="s">
        <v>72</v>
      </c>
      <c r="B4" s="10" t="s">
        <v>8</v>
      </c>
      <c r="C4" s="10" t="s">
        <v>22</v>
      </c>
      <c r="D4" s="11">
        <v>46312</v>
      </c>
      <c r="E4" s="37" t="s">
        <v>73</v>
      </c>
      <c r="F4" s="39"/>
    </row>
    <row r="5" spans="1:6" ht="24" customHeight="1" x14ac:dyDescent="0.25">
      <c r="A5" s="9"/>
      <c r="B5" s="10"/>
      <c r="C5" s="10"/>
      <c r="D5" s="11"/>
      <c r="E5" s="37"/>
      <c r="F5" s="39"/>
    </row>
    <row r="6" spans="1:6" ht="24" customHeight="1" x14ac:dyDescent="0.25">
      <c r="A6" s="9"/>
      <c r="B6" s="10"/>
      <c r="C6" s="10"/>
      <c r="D6" s="11"/>
      <c r="E6" s="37"/>
      <c r="F6" s="39"/>
    </row>
    <row r="7" spans="1:6" ht="24" customHeight="1" x14ac:dyDescent="0.25">
      <c r="A7" s="9"/>
      <c r="B7" s="10"/>
      <c r="C7" s="10"/>
      <c r="D7" s="11"/>
      <c r="E7" s="37"/>
      <c r="F7" s="39"/>
    </row>
    <row r="8" spans="1:6" ht="24" customHeight="1" x14ac:dyDescent="0.25">
      <c r="A8" s="9"/>
      <c r="B8" s="10"/>
      <c r="C8" s="10"/>
      <c r="D8" s="11"/>
      <c r="E8" s="37"/>
      <c r="F8" s="39"/>
    </row>
    <row r="9" spans="1:6" ht="24" customHeight="1" x14ac:dyDescent="0.25">
      <c r="A9" s="9"/>
      <c r="B9" s="10"/>
      <c r="C9" s="10"/>
      <c r="D9" s="11"/>
      <c r="E9" s="37"/>
      <c r="F9" s="39"/>
    </row>
    <row r="10" spans="1:6" ht="24" customHeight="1" x14ac:dyDescent="0.25">
      <c r="A10" s="9"/>
      <c r="B10" s="10"/>
      <c r="C10" s="10"/>
      <c r="D10" s="11"/>
      <c r="E10" s="37"/>
      <c r="F10" s="39"/>
    </row>
    <row r="11" spans="1:6" ht="24" customHeight="1" x14ac:dyDescent="0.25">
      <c r="A11" s="9"/>
      <c r="B11" s="10"/>
      <c r="C11" s="10"/>
      <c r="D11" s="11"/>
      <c r="E11" s="37"/>
      <c r="F11" s="39"/>
    </row>
    <row r="12" spans="1:6" ht="24" customHeight="1" x14ac:dyDescent="0.25">
      <c r="A12" s="9"/>
      <c r="B12" s="10"/>
      <c r="C12" s="10"/>
      <c r="D12" s="11"/>
      <c r="E12" s="37"/>
      <c r="F12" s="39"/>
    </row>
    <row r="13" spans="1:6" ht="24" customHeight="1" x14ac:dyDescent="0.25">
      <c r="A13" s="9"/>
      <c r="B13" s="10"/>
      <c r="C13" s="10"/>
      <c r="D13" s="11"/>
      <c r="E13" s="37"/>
      <c r="F13" s="39"/>
    </row>
    <row r="14" spans="1:6" ht="24" customHeight="1" x14ac:dyDescent="0.25">
      <c r="A14" s="9"/>
      <c r="B14" s="10"/>
      <c r="C14" s="10"/>
      <c r="D14" s="11"/>
      <c r="E14" s="37"/>
      <c r="F14" s="39"/>
    </row>
    <row r="15" spans="1:6" ht="24" customHeight="1" x14ac:dyDescent="0.25">
      <c r="A15" s="9"/>
      <c r="B15" s="10"/>
      <c r="C15" s="10"/>
      <c r="D15" s="11"/>
      <c r="E15" s="37"/>
      <c r="F15" s="39"/>
    </row>
    <row r="16" spans="1:6" ht="24" customHeight="1" x14ac:dyDescent="0.25">
      <c r="A16" s="9"/>
      <c r="B16" s="10"/>
      <c r="C16" s="10"/>
      <c r="D16" s="11"/>
      <c r="E16" s="37"/>
      <c r="F16" s="39"/>
    </row>
    <row r="17" spans="1:6" ht="24" customHeight="1" x14ac:dyDescent="0.25">
      <c r="A17" s="9"/>
      <c r="B17" s="10"/>
      <c r="C17" s="10"/>
      <c r="D17" s="11"/>
      <c r="E17" s="37"/>
      <c r="F17" s="39"/>
    </row>
    <row r="18" spans="1:6" ht="24" customHeight="1" x14ac:dyDescent="0.25">
      <c r="A18" s="9"/>
      <c r="B18" s="10"/>
      <c r="C18" s="10"/>
      <c r="D18" s="11"/>
      <c r="E18" s="37"/>
      <c r="F18" s="38"/>
    </row>
  </sheetData>
  <mergeCells count="1">
    <mergeCell ref="A1:E1"/>
  </mergeCells>
  <conditionalFormatting sqref="B4:B18">
    <cfRule type="cellIs" dxfId="41" priority="5" operator="equal">
      <formula>"Not Started"</formula>
    </cfRule>
    <cfRule type="cellIs" dxfId="40" priority="6" operator="equal">
      <formula>"In Progress"</formula>
    </cfRule>
    <cfRule type="cellIs" dxfId="39" priority="7" operator="equal">
      <formula>"Completed"</formula>
    </cfRule>
  </conditionalFormatting>
  <conditionalFormatting sqref="C4:C18">
    <cfRule type="cellIs" dxfId="38" priority="1" operator="equal">
      <formula>"Green"</formula>
    </cfRule>
    <cfRule type="cellIs" dxfId="37" priority="2" operator="equal">
      <formula>"Amber"</formula>
    </cfRule>
    <cfRule type="cellIs" dxfId="36" priority="3" operator="equal">
      <formula>"Red"</formula>
    </cfRule>
  </conditionalFormatting>
  <dataValidations count="3">
    <dataValidation type="list" allowBlank="1" sqref="B4:B18" xr:uid="{00000000-0002-0000-0400-000000000000}">
      <formula1>"Not Started,In Progress,Completed"</formula1>
    </dataValidation>
    <dataValidation type="list" allowBlank="1" sqref="E4:E18" xr:uid="{00000000-0002-0000-0400-000002000000}">
      <formula1>"Quick active recall,Test key definitions,Practise examination questions,Review knowledge gaps,Practise calculations,Recall a case study,Test vocabulary,Practise a 16-mark question,Practise equations,Translate sentences"</formula1>
    </dataValidation>
    <dataValidation type="list" allowBlank="1" showInputMessage="1" showErrorMessage="1" sqref="C4:C1000" xr:uid="{F94959DB-CE01-4A63-8621-6147A58A4425}">
      <formula1>"Green,Amber,Red"</formula1>
    </dataValidation>
  </dataValidations>
  <hyperlinks>
    <hyperlink ref="A2" location="'Dashboard'!A1" display="&lt; Return to Dashboard" xr:uid="{9AF9D96A-6B58-4489-A94A-6B01ED730B91}"/>
  </hyperlink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8"/>
  <sheetViews>
    <sheetView showGridLines="0" zoomScale="85" zoomScaleNormal="85" workbookViewId="0">
      <pane ySplit="3" topLeftCell="A4" activePane="bottomLeft" state="frozen"/>
      <selection pane="bottomLeft" activeCell="L6" sqref="L6"/>
    </sheetView>
  </sheetViews>
  <sheetFormatPr defaultRowHeight="15" x14ac:dyDescent="0.25"/>
  <cols>
    <col min="1" max="1" width="36" customWidth="1"/>
    <col min="2" max="2" width="21.5703125" customWidth="1"/>
    <col min="3" max="3" width="17.42578125" customWidth="1"/>
    <col min="4" max="4" width="21" style="19" customWidth="1"/>
    <col min="5" max="5" width="38" customWidth="1"/>
    <col min="6" max="6" width="55.7109375" customWidth="1"/>
  </cols>
  <sheetData>
    <row r="1" spans="1:6" ht="32.1" customHeight="1" x14ac:dyDescent="0.25">
      <c r="A1" s="55" t="s">
        <v>74</v>
      </c>
      <c r="B1" s="43"/>
      <c r="C1" s="43"/>
      <c r="D1" s="43"/>
      <c r="E1" s="43"/>
    </row>
    <row r="2" spans="1:6" ht="18" customHeight="1" x14ac:dyDescent="0.25">
      <c r="A2" s="34" t="s">
        <v>30</v>
      </c>
    </row>
    <row r="3" spans="1:6" ht="26.1" customHeight="1" x14ac:dyDescent="0.25">
      <c r="A3" s="7" t="s">
        <v>31</v>
      </c>
      <c r="B3" s="7" t="s">
        <v>32</v>
      </c>
      <c r="C3" s="7" t="s">
        <v>33</v>
      </c>
      <c r="D3" s="20" t="s">
        <v>23</v>
      </c>
      <c r="E3" s="7" t="s">
        <v>34</v>
      </c>
      <c r="F3" s="40" t="s">
        <v>130</v>
      </c>
    </row>
    <row r="4" spans="1:6" ht="85.5" customHeight="1" x14ac:dyDescent="0.25">
      <c r="A4" s="35" t="s">
        <v>75</v>
      </c>
      <c r="B4" s="10" t="s">
        <v>9</v>
      </c>
      <c r="C4" s="10" t="s">
        <v>13</v>
      </c>
      <c r="D4" s="11">
        <v>46315</v>
      </c>
      <c r="E4" s="37" t="s">
        <v>76</v>
      </c>
      <c r="F4" s="39"/>
    </row>
    <row r="5" spans="1:6" ht="74.25" customHeight="1" x14ac:dyDescent="0.25">
      <c r="A5" s="9" t="s">
        <v>77</v>
      </c>
      <c r="B5" s="10"/>
      <c r="C5" s="10"/>
      <c r="D5" s="11"/>
      <c r="E5" s="37"/>
      <c r="F5" s="39"/>
    </row>
    <row r="6" spans="1:6" ht="119.25" customHeight="1" x14ac:dyDescent="0.25">
      <c r="A6" s="9" t="s">
        <v>78</v>
      </c>
      <c r="B6" s="10" t="s">
        <v>9</v>
      </c>
      <c r="C6" s="10" t="s">
        <v>14</v>
      </c>
      <c r="D6" s="11">
        <v>46311</v>
      </c>
      <c r="E6" s="37" t="s">
        <v>79</v>
      </c>
      <c r="F6" s="39"/>
    </row>
    <row r="7" spans="1:6" ht="42.75" customHeight="1" x14ac:dyDescent="0.25">
      <c r="A7" s="9" t="s">
        <v>80</v>
      </c>
      <c r="B7" s="10" t="s">
        <v>9</v>
      </c>
      <c r="C7" s="10" t="s">
        <v>13</v>
      </c>
      <c r="D7" s="11">
        <v>46315</v>
      </c>
      <c r="E7" s="37"/>
      <c r="F7" s="39"/>
    </row>
    <row r="8" spans="1:6" ht="43.5" customHeight="1" x14ac:dyDescent="0.25">
      <c r="A8" s="9" t="s">
        <v>81</v>
      </c>
      <c r="B8" s="10" t="s">
        <v>9</v>
      </c>
      <c r="C8" s="10" t="s">
        <v>13</v>
      </c>
      <c r="D8" s="11">
        <v>46315</v>
      </c>
      <c r="E8" s="37"/>
      <c r="F8" s="39"/>
    </row>
    <row r="9" spans="1:6" ht="54.75" customHeight="1" x14ac:dyDescent="0.25">
      <c r="A9" s="21" t="s">
        <v>82</v>
      </c>
      <c r="B9" s="10"/>
      <c r="C9" s="10"/>
      <c r="D9" s="11"/>
      <c r="E9" s="37"/>
      <c r="F9" s="39"/>
    </row>
    <row r="10" spans="1:6" ht="62.25" customHeight="1" x14ac:dyDescent="0.25">
      <c r="A10" s="9" t="s">
        <v>83</v>
      </c>
      <c r="B10" s="10"/>
      <c r="C10" s="10"/>
      <c r="D10" s="11"/>
      <c r="E10" s="37"/>
      <c r="F10" s="39"/>
    </row>
    <row r="11" spans="1:6" ht="36" customHeight="1" x14ac:dyDescent="0.25">
      <c r="A11" s="35" t="s">
        <v>84</v>
      </c>
      <c r="B11" s="10"/>
      <c r="C11" s="10"/>
      <c r="D11" s="11"/>
      <c r="E11" s="37"/>
      <c r="F11" s="39"/>
    </row>
    <row r="12" spans="1:6" ht="39.75" customHeight="1" x14ac:dyDescent="0.25">
      <c r="A12" s="9" t="s">
        <v>85</v>
      </c>
      <c r="B12" s="10"/>
      <c r="C12" s="10"/>
      <c r="D12" s="11"/>
      <c r="E12" s="37"/>
      <c r="F12" s="39"/>
    </row>
    <row r="13" spans="1:6" ht="42" customHeight="1" x14ac:dyDescent="0.25">
      <c r="A13" s="9" t="s">
        <v>86</v>
      </c>
      <c r="B13" s="10"/>
      <c r="C13" s="10"/>
      <c r="D13" s="11"/>
      <c r="E13" s="37"/>
      <c r="F13" s="39"/>
    </row>
    <row r="14" spans="1:6" ht="24" customHeight="1" x14ac:dyDescent="0.25">
      <c r="A14" s="9"/>
      <c r="B14" s="10"/>
      <c r="C14" s="10"/>
      <c r="D14" s="11"/>
      <c r="E14" s="37"/>
      <c r="F14" s="39"/>
    </row>
    <row r="15" spans="1:6" ht="24" customHeight="1" x14ac:dyDescent="0.25">
      <c r="A15" s="9"/>
      <c r="B15" s="10"/>
      <c r="C15" s="10"/>
      <c r="D15" s="11"/>
      <c r="E15" s="37"/>
      <c r="F15" s="39"/>
    </row>
    <row r="16" spans="1:6" ht="24" customHeight="1" x14ac:dyDescent="0.25">
      <c r="A16" s="9"/>
      <c r="B16" s="10"/>
      <c r="C16" s="10"/>
      <c r="D16" s="11"/>
      <c r="E16" s="37"/>
      <c r="F16" s="39"/>
    </row>
    <row r="17" spans="1:6" ht="24" customHeight="1" x14ac:dyDescent="0.25">
      <c r="A17" s="9"/>
      <c r="B17" s="10"/>
      <c r="C17" s="10"/>
      <c r="D17" s="11"/>
      <c r="E17" s="37"/>
      <c r="F17" s="39"/>
    </row>
    <row r="18" spans="1:6" ht="24" customHeight="1" x14ac:dyDescent="0.25">
      <c r="A18" s="9"/>
      <c r="B18" s="10"/>
      <c r="C18" s="10"/>
      <c r="D18" s="11"/>
      <c r="E18" s="37"/>
      <c r="F18" s="38"/>
    </row>
  </sheetData>
  <mergeCells count="1">
    <mergeCell ref="A1:E1"/>
  </mergeCells>
  <conditionalFormatting sqref="B4:B18">
    <cfRule type="cellIs" dxfId="35" priority="5" operator="equal">
      <formula>"Not Started"</formula>
    </cfRule>
    <cfRule type="cellIs" dxfId="34" priority="6" operator="equal">
      <formula>"In Progress"</formula>
    </cfRule>
    <cfRule type="cellIs" dxfId="33" priority="7" operator="equal">
      <formula>"Completed"</formula>
    </cfRule>
  </conditionalFormatting>
  <conditionalFormatting sqref="C4:C18">
    <cfRule type="cellIs" dxfId="32" priority="1" operator="equal">
      <formula>"Green"</formula>
    </cfRule>
    <cfRule type="cellIs" dxfId="31" priority="2" operator="equal">
      <formula>"Amber"</formula>
    </cfRule>
    <cfRule type="cellIs" dxfId="30" priority="3" operator="equal">
      <formula>"Red"</formula>
    </cfRule>
  </conditionalFormatting>
  <dataValidations count="3">
    <dataValidation type="list" allowBlank="1" sqref="B4:B18" xr:uid="{00000000-0002-0000-0500-000000000000}">
      <formula1>"Not Started,In Progress,Completed"</formula1>
    </dataValidation>
    <dataValidation type="list" allowBlank="1" sqref="E4:E18" xr:uid="{00000000-0002-0000-0500-000002000000}">
      <formula1>"Quick active recall,Test key definitions,Practise examination questions,Review knowledge gaps,Practise calculations,Recall a case study,Test vocabulary,Practise a 16-mark question,Practise equations,Translate sentences"</formula1>
    </dataValidation>
    <dataValidation type="list" allowBlank="1" showInputMessage="1" showErrorMessage="1" sqref="C4:C1000" xr:uid="{6F71802A-2A8D-4C80-BB0D-395F97010563}">
      <formula1>"Green,Amber,Red"</formula1>
    </dataValidation>
  </dataValidations>
  <hyperlinks>
    <hyperlink ref="A2" location="'Dashboard'!A1" display="&lt; Return to Dashboard" xr:uid="{256F0676-1111-48D2-8BF2-9E5E1DB5F676}"/>
  </hyperlinks>
  <pageMargins left="0.75" right="0.75" top="1" bottom="1" header="0.5" footer="0.5"/>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8"/>
  <sheetViews>
    <sheetView showGridLines="0" zoomScale="115" zoomScaleNormal="115" workbookViewId="0">
      <pane ySplit="3" topLeftCell="A4" activePane="bottomLeft" state="frozen"/>
      <selection pane="bottomLeft" activeCell="A2" sqref="A2"/>
    </sheetView>
  </sheetViews>
  <sheetFormatPr defaultRowHeight="15" x14ac:dyDescent="0.25"/>
  <cols>
    <col min="1" max="1" width="36" customWidth="1"/>
    <col min="2" max="3" width="14" customWidth="1"/>
    <col min="4" max="4" width="21.28515625" style="19" customWidth="1"/>
    <col min="5" max="5" width="38" customWidth="1"/>
    <col min="6" max="6" width="55.7109375" customWidth="1"/>
  </cols>
  <sheetData>
    <row r="1" spans="1:6" ht="32.1" customHeight="1" x14ac:dyDescent="0.25">
      <c r="A1" s="54" t="s">
        <v>87</v>
      </c>
      <c r="B1" s="43"/>
      <c r="C1" s="43"/>
      <c r="D1" s="43"/>
      <c r="E1" s="43"/>
    </row>
    <row r="2" spans="1:6" ht="18" customHeight="1" x14ac:dyDescent="0.25">
      <c r="A2" s="34" t="s">
        <v>30</v>
      </c>
    </row>
    <row r="3" spans="1:6" ht="26.1" customHeight="1" x14ac:dyDescent="0.25">
      <c r="A3" s="8" t="s">
        <v>31</v>
      </c>
      <c r="B3" s="8" t="s">
        <v>32</v>
      </c>
      <c r="C3" s="8" t="s">
        <v>33</v>
      </c>
      <c r="D3" s="18" t="s">
        <v>23</v>
      </c>
      <c r="E3" s="8" t="s">
        <v>34</v>
      </c>
      <c r="F3" s="36" t="s">
        <v>130</v>
      </c>
    </row>
    <row r="4" spans="1:6" ht="49.5" customHeight="1" x14ac:dyDescent="0.25">
      <c r="A4" s="9" t="s">
        <v>88</v>
      </c>
      <c r="B4" s="10"/>
      <c r="C4" s="10"/>
      <c r="D4" s="11"/>
      <c r="E4" s="37"/>
      <c r="F4" s="39"/>
    </row>
    <row r="5" spans="1:6" ht="81" customHeight="1" x14ac:dyDescent="0.25">
      <c r="A5" s="9" t="s">
        <v>89</v>
      </c>
      <c r="B5" s="10" t="s">
        <v>8</v>
      </c>
      <c r="C5" s="10" t="s">
        <v>14</v>
      </c>
      <c r="D5" s="22">
        <v>46314</v>
      </c>
      <c r="E5" s="37" t="s">
        <v>90</v>
      </c>
      <c r="F5" s="39"/>
    </row>
    <row r="6" spans="1:6" ht="41.25" customHeight="1" x14ac:dyDescent="0.25">
      <c r="A6" s="9" t="s">
        <v>91</v>
      </c>
      <c r="B6" s="10"/>
      <c r="C6" s="10"/>
      <c r="D6" s="11"/>
      <c r="E6" s="37"/>
      <c r="F6" s="39"/>
    </row>
    <row r="7" spans="1:6" ht="71.25" customHeight="1" x14ac:dyDescent="0.25">
      <c r="A7" s="9" t="s">
        <v>92</v>
      </c>
      <c r="B7" s="10"/>
      <c r="C7" s="10"/>
      <c r="D7" s="11"/>
      <c r="E7" s="37"/>
      <c r="F7" s="39"/>
    </row>
    <row r="8" spans="1:6" ht="105.75" customHeight="1" x14ac:dyDescent="0.25">
      <c r="A8" s="9" t="s">
        <v>93</v>
      </c>
      <c r="B8" s="10"/>
      <c r="C8" s="10"/>
      <c r="D8" s="11"/>
      <c r="E8" s="37"/>
      <c r="F8" s="39"/>
    </row>
    <row r="9" spans="1:6" ht="48.75" customHeight="1" x14ac:dyDescent="0.25">
      <c r="A9" s="9" t="s">
        <v>94</v>
      </c>
      <c r="B9" s="10"/>
      <c r="C9" s="10"/>
      <c r="D9" s="11"/>
      <c r="E9" s="37"/>
      <c r="F9" s="39"/>
    </row>
    <row r="10" spans="1:6" ht="24" customHeight="1" x14ac:dyDescent="0.25">
      <c r="A10" s="9"/>
      <c r="B10" s="10"/>
      <c r="C10" s="10"/>
      <c r="D10" s="11"/>
      <c r="E10" s="37"/>
      <c r="F10" s="39"/>
    </row>
    <row r="11" spans="1:6" ht="24" customHeight="1" x14ac:dyDescent="0.25">
      <c r="A11" s="9"/>
      <c r="B11" s="10"/>
      <c r="C11" s="10"/>
      <c r="D11" s="11"/>
      <c r="E11" s="37"/>
      <c r="F11" s="39"/>
    </row>
    <row r="12" spans="1:6" ht="24" customHeight="1" x14ac:dyDescent="0.25">
      <c r="A12" s="9"/>
      <c r="B12" s="10"/>
      <c r="C12" s="10"/>
      <c r="D12" s="11"/>
      <c r="E12" s="37"/>
      <c r="F12" s="39"/>
    </row>
    <row r="13" spans="1:6" ht="24" customHeight="1" x14ac:dyDescent="0.25">
      <c r="A13" s="9"/>
      <c r="B13" s="10"/>
      <c r="C13" s="10"/>
      <c r="D13" s="11"/>
      <c r="E13" s="37"/>
      <c r="F13" s="39"/>
    </row>
    <row r="14" spans="1:6" ht="24" customHeight="1" x14ac:dyDescent="0.25">
      <c r="A14" s="9"/>
      <c r="B14" s="10"/>
      <c r="C14" s="10"/>
      <c r="D14" s="11"/>
      <c r="E14" s="37"/>
      <c r="F14" s="39"/>
    </row>
    <row r="15" spans="1:6" ht="24" customHeight="1" x14ac:dyDescent="0.25">
      <c r="A15" s="9"/>
      <c r="B15" s="10"/>
      <c r="C15" s="10"/>
      <c r="D15" s="11"/>
      <c r="E15" s="37"/>
      <c r="F15" s="39"/>
    </row>
    <row r="16" spans="1:6" ht="24" customHeight="1" x14ac:dyDescent="0.25">
      <c r="A16" s="9"/>
      <c r="B16" s="10"/>
      <c r="C16" s="10"/>
      <c r="D16" s="11"/>
      <c r="E16" s="37"/>
      <c r="F16" s="39"/>
    </row>
    <row r="17" spans="1:6" ht="24" customHeight="1" x14ac:dyDescent="0.25">
      <c r="A17" s="9"/>
      <c r="B17" s="10"/>
      <c r="C17" s="10"/>
      <c r="D17" s="11"/>
      <c r="E17" s="37"/>
      <c r="F17" s="39"/>
    </row>
    <row r="18" spans="1:6" ht="24" customHeight="1" x14ac:dyDescent="0.25">
      <c r="A18" s="9"/>
      <c r="B18" s="10"/>
      <c r="C18" s="10"/>
      <c r="D18" s="11"/>
      <c r="E18" s="37"/>
      <c r="F18" s="38"/>
    </row>
  </sheetData>
  <mergeCells count="1">
    <mergeCell ref="A1:E1"/>
  </mergeCells>
  <conditionalFormatting sqref="B4:B18">
    <cfRule type="cellIs" dxfId="29" priority="5" operator="equal">
      <formula>"Not Started"</formula>
    </cfRule>
    <cfRule type="cellIs" dxfId="28" priority="6" operator="equal">
      <formula>"In Progress"</formula>
    </cfRule>
    <cfRule type="cellIs" dxfId="27" priority="7" operator="equal">
      <formula>"Completed"</formula>
    </cfRule>
  </conditionalFormatting>
  <conditionalFormatting sqref="C4:C18">
    <cfRule type="cellIs" dxfId="26" priority="1" operator="equal">
      <formula>"Green"</formula>
    </cfRule>
    <cfRule type="cellIs" dxfId="25" priority="2" operator="equal">
      <formula>"Amber"</formula>
    </cfRule>
    <cfRule type="cellIs" dxfId="24" priority="3" operator="equal">
      <formula>"Red"</formula>
    </cfRule>
  </conditionalFormatting>
  <dataValidations count="3">
    <dataValidation type="list" allowBlank="1" sqref="B4:B18" xr:uid="{00000000-0002-0000-0600-000000000000}">
      <formula1>"Not Started,In Progress,Completed"</formula1>
    </dataValidation>
    <dataValidation type="list" allowBlank="1" sqref="E4:E18" xr:uid="{00000000-0002-0000-0600-000002000000}">
      <formula1>"Quick active recall,Test key definitions,Practise examination questions,Review knowledge gaps,Practise calculations,Recall a case study,Test vocabulary,Practise a 16-mark question,Practise equations,Translate sentences"</formula1>
    </dataValidation>
    <dataValidation type="list" allowBlank="1" showInputMessage="1" showErrorMessage="1" sqref="C4:C1000" xr:uid="{4647D610-A084-4D58-AF9B-C59CD8537776}">
      <formula1>"Green,Amber,Red"</formula1>
    </dataValidation>
  </dataValidations>
  <hyperlinks>
    <hyperlink ref="A2" location="'Dashboard'!A1" display="&lt; Return to Dashboard" xr:uid="{532A4B47-D439-47B5-B1E0-9945B794BCDE}"/>
  </hyperlinks>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8"/>
  <sheetViews>
    <sheetView showGridLines="0" workbookViewId="0">
      <pane ySplit="3" topLeftCell="A4" activePane="bottomLeft" state="frozen"/>
      <selection pane="bottomLeft" activeCell="B8" sqref="B8"/>
    </sheetView>
  </sheetViews>
  <sheetFormatPr defaultRowHeight="15" x14ac:dyDescent="0.25"/>
  <cols>
    <col min="1" max="1" width="36" customWidth="1"/>
    <col min="2" max="3" width="14" customWidth="1"/>
    <col min="4" max="4" width="15" style="19" customWidth="1"/>
    <col min="5" max="5" width="38" customWidth="1"/>
    <col min="6" max="6" width="55.7109375" customWidth="1"/>
  </cols>
  <sheetData>
    <row r="1" spans="1:6" ht="32.1" customHeight="1" x14ac:dyDescent="0.25">
      <c r="A1" s="54" t="s">
        <v>95</v>
      </c>
      <c r="B1" s="43"/>
      <c r="C1" s="43"/>
      <c r="D1" s="43"/>
      <c r="E1" s="43"/>
    </row>
    <row r="2" spans="1:6" ht="18" customHeight="1" x14ac:dyDescent="0.25">
      <c r="A2" s="34" t="s">
        <v>30</v>
      </c>
    </row>
    <row r="3" spans="1:6" ht="26.1" customHeight="1" x14ac:dyDescent="0.25">
      <c r="A3" s="7" t="s">
        <v>31</v>
      </c>
      <c r="B3" s="7" t="s">
        <v>32</v>
      </c>
      <c r="C3" s="7" t="s">
        <v>33</v>
      </c>
      <c r="D3" s="20" t="s">
        <v>23</v>
      </c>
      <c r="E3" s="7" t="s">
        <v>34</v>
      </c>
      <c r="F3" s="40" t="s">
        <v>130</v>
      </c>
    </row>
    <row r="4" spans="1:6" ht="24" customHeight="1" x14ac:dyDescent="0.25">
      <c r="A4" s="9" t="s">
        <v>96</v>
      </c>
      <c r="B4" s="10"/>
      <c r="C4" s="10"/>
      <c r="D4" s="11"/>
      <c r="E4" s="37" t="s">
        <v>97</v>
      </c>
      <c r="F4" s="39"/>
    </row>
    <row r="5" spans="1:6" ht="24" customHeight="1" x14ac:dyDescent="0.25">
      <c r="A5" s="9" t="s">
        <v>98</v>
      </c>
      <c r="B5" s="10"/>
      <c r="C5" s="10"/>
      <c r="D5" s="11"/>
      <c r="E5" s="37"/>
      <c r="F5" s="39"/>
    </row>
    <row r="6" spans="1:6" ht="24" customHeight="1" x14ac:dyDescent="0.25">
      <c r="A6" s="9" t="s">
        <v>99</v>
      </c>
      <c r="B6" s="10"/>
      <c r="C6" s="10"/>
      <c r="D6" s="11"/>
      <c r="E6" s="37"/>
      <c r="F6" s="39"/>
    </row>
    <row r="7" spans="1:6" ht="24" customHeight="1" x14ac:dyDescent="0.25">
      <c r="A7" s="9" t="s">
        <v>100</v>
      </c>
      <c r="B7" s="10"/>
      <c r="C7" s="10"/>
      <c r="D7" s="11"/>
      <c r="E7" s="37"/>
      <c r="F7" s="39"/>
    </row>
    <row r="8" spans="1:6" ht="154.5" customHeight="1" x14ac:dyDescent="0.25">
      <c r="A8" s="9" t="s">
        <v>101</v>
      </c>
      <c r="B8" s="10" t="s">
        <v>9</v>
      </c>
      <c r="C8" s="10" t="s">
        <v>22</v>
      </c>
      <c r="D8" s="11">
        <v>46315</v>
      </c>
      <c r="E8" s="37" t="s">
        <v>102</v>
      </c>
      <c r="F8" s="39"/>
    </row>
    <row r="9" spans="1:6" ht="24" customHeight="1" x14ac:dyDescent="0.25">
      <c r="A9" s="9"/>
      <c r="B9" s="10"/>
      <c r="C9" s="10"/>
      <c r="D9" s="11"/>
      <c r="E9" s="37"/>
      <c r="F9" s="39"/>
    </row>
    <row r="10" spans="1:6" ht="24" customHeight="1" x14ac:dyDescent="0.25">
      <c r="A10" s="9"/>
      <c r="B10" s="10"/>
      <c r="C10" s="10"/>
      <c r="D10" s="11"/>
      <c r="E10" s="37"/>
      <c r="F10" s="39"/>
    </row>
    <row r="11" spans="1:6" ht="24" customHeight="1" x14ac:dyDescent="0.25">
      <c r="A11" s="9"/>
      <c r="B11" s="10"/>
      <c r="C11" s="10"/>
      <c r="D11" s="11"/>
      <c r="E11" s="37"/>
      <c r="F11" s="39"/>
    </row>
    <row r="12" spans="1:6" ht="24" customHeight="1" x14ac:dyDescent="0.25">
      <c r="A12" s="9"/>
      <c r="B12" s="10"/>
      <c r="C12" s="10"/>
      <c r="D12" s="11"/>
      <c r="E12" s="37"/>
      <c r="F12" s="39"/>
    </row>
    <row r="13" spans="1:6" ht="24" customHeight="1" x14ac:dyDescent="0.25">
      <c r="A13" s="9"/>
      <c r="B13" s="10"/>
      <c r="C13" s="10"/>
      <c r="D13" s="11"/>
      <c r="E13" s="37"/>
      <c r="F13" s="39"/>
    </row>
    <row r="14" spans="1:6" ht="24" customHeight="1" x14ac:dyDescent="0.25">
      <c r="A14" s="9"/>
      <c r="B14" s="10"/>
      <c r="C14" s="10"/>
      <c r="D14" s="11"/>
      <c r="E14" s="37"/>
      <c r="F14" s="39"/>
    </row>
    <row r="15" spans="1:6" ht="24" customHeight="1" x14ac:dyDescent="0.25">
      <c r="A15" s="9"/>
      <c r="B15" s="10"/>
      <c r="C15" s="10"/>
      <c r="D15" s="11"/>
      <c r="E15" s="37"/>
      <c r="F15" s="39"/>
    </row>
    <row r="16" spans="1:6" ht="24" customHeight="1" x14ac:dyDescent="0.25">
      <c r="A16" s="9"/>
      <c r="B16" s="10"/>
      <c r="C16" s="10"/>
      <c r="D16" s="11"/>
      <c r="E16" s="37"/>
      <c r="F16" s="39"/>
    </row>
    <row r="17" spans="1:6" ht="24" customHeight="1" x14ac:dyDescent="0.25">
      <c r="A17" s="9"/>
      <c r="B17" s="10"/>
      <c r="C17" s="10"/>
      <c r="D17" s="11"/>
      <c r="E17" s="37"/>
      <c r="F17" s="39"/>
    </row>
    <row r="18" spans="1:6" ht="24" customHeight="1" x14ac:dyDescent="0.25">
      <c r="A18" s="9"/>
      <c r="B18" s="10"/>
      <c r="C18" s="10"/>
      <c r="D18" s="11"/>
      <c r="E18" s="37"/>
      <c r="F18" s="38"/>
    </row>
  </sheetData>
  <mergeCells count="1">
    <mergeCell ref="A1:E1"/>
  </mergeCells>
  <conditionalFormatting sqref="B4:B18">
    <cfRule type="cellIs" dxfId="23" priority="5" operator="equal">
      <formula>"Not Started"</formula>
    </cfRule>
    <cfRule type="cellIs" dxfId="22" priority="6" operator="equal">
      <formula>"In Progress"</formula>
    </cfRule>
    <cfRule type="cellIs" dxfId="21" priority="7" operator="equal">
      <formula>"Completed"</formula>
    </cfRule>
  </conditionalFormatting>
  <conditionalFormatting sqref="C4:C18">
    <cfRule type="cellIs" dxfId="20" priority="1" operator="equal">
      <formula>"Green"</formula>
    </cfRule>
    <cfRule type="cellIs" dxfId="19" priority="2" operator="equal">
      <formula>"Amber"</formula>
    </cfRule>
    <cfRule type="cellIs" dxfId="18" priority="3" operator="equal">
      <formula>"Red"</formula>
    </cfRule>
  </conditionalFormatting>
  <dataValidations count="3">
    <dataValidation type="list" allowBlank="1" sqref="B4:B18" xr:uid="{00000000-0002-0000-0700-000000000000}">
      <formula1>"Not Started,In Progress,Completed"</formula1>
    </dataValidation>
    <dataValidation type="list" allowBlank="1" sqref="E4:E18" xr:uid="{00000000-0002-0000-0700-000002000000}">
      <formula1>"Quick active recall,Test key definitions,Practise examination questions,Review knowledge gaps,Practise calculations,Recall a case study,Test vocabulary,Practise a 16-mark question,Practise equations,Translate sentences"</formula1>
    </dataValidation>
    <dataValidation type="list" allowBlank="1" showInputMessage="1" showErrorMessage="1" sqref="C4:C1000" xr:uid="{15AF1E36-42FD-4CF9-95B4-34BFF7143734}">
      <formula1>"Green,Amber,Red"</formula1>
    </dataValidation>
  </dataValidations>
  <hyperlinks>
    <hyperlink ref="A2" location="'Dashboard'!A1" display="&lt; Return to Dashboard" xr:uid="{6C29F949-0882-4F04-95C2-56A5A530131C}"/>
  </hyperlinks>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8"/>
  <sheetViews>
    <sheetView showGridLines="0" workbookViewId="0">
      <pane ySplit="3" topLeftCell="A4" activePane="bottomLeft" state="frozen"/>
      <selection activeCell="D1" sqref="D1"/>
      <selection pane="bottomLeft" activeCell="A2" sqref="A2"/>
    </sheetView>
  </sheetViews>
  <sheetFormatPr defaultRowHeight="15" x14ac:dyDescent="0.25"/>
  <cols>
    <col min="1" max="1" width="36" customWidth="1"/>
    <col min="2" max="3" width="14" customWidth="1"/>
    <col min="4" max="4" width="17.7109375" style="19" customWidth="1"/>
    <col min="5" max="5" width="43.5703125" customWidth="1"/>
    <col min="6" max="6" width="55.7109375" customWidth="1"/>
  </cols>
  <sheetData>
    <row r="1" spans="1:6" ht="32.1" customHeight="1" x14ac:dyDescent="0.25">
      <c r="A1" s="55" t="s">
        <v>103</v>
      </c>
      <c r="B1" s="43"/>
      <c r="C1" s="43"/>
      <c r="D1" s="43"/>
      <c r="E1" s="43"/>
    </row>
    <row r="2" spans="1:6" ht="18" customHeight="1" x14ac:dyDescent="0.25">
      <c r="A2" s="34" t="s">
        <v>30</v>
      </c>
    </row>
    <row r="3" spans="1:6" ht="26.1" customHeight="1" x14ac:dyDescent="0.25">
      <c r="A3" s="7" t="s">
        <v>31</v>
      </c>
      <c r="B3" s="7" t="s">
        <v>32</v>
      </c>
      <c r="C3" s="7" t="s">
        <v>33</v>
      </c>
      <c r="D3" s="20" t="s">
        <v>23</v>
      </c>
      <c r="E3" s="7" t="s">
        <v>34</v>
      </c>
      <c r="F3" s="40" t="s">
        <v>130</v>
      </c>
    </row>
    <row r="4" spans="1:6" ht="115.5" customHeight="1" x14ac:dyDescent="0.25">
      <c r="A4" s="2" t="s">
        <v>104</v>
      </c>
      <c r="B4" s="3" t="s">
        <v>8</v>
      </c>
      <c r="C4" s="3" t="s">
        <v>22</v>
      </c>
      <c r="D4" s="4">
        <v>46314</v>
      </c>
      <c r="E4" s="37" t="s">
        <v>105</v>
      </c>
      <c r="F4" s="39"/>
    </row>
    <row r="5" spans="1:6" ht="42.75" customHeight="1" x14ac:dyDescent="0.25">
      <c r="A5" s="2" t="s">
        <v>106</v>
      </c>
      <c r="B5" s="3"/>
      <c r="C5" s="3"/>
      <c r="D5" s="4"/>
      <c r="E5" s="41"/>
      <c r="F5" s="39"/>
    </row>
    <row r="6" spans="1:6" ht="45.75" customHeight="1" x14ac:dyDescent="0.25">
      <c r="A6" s="2" t="s">
        <v>107</v>
      </c>
      <c r="B6" s="3"/>
      <c r="C6" s="3"/>
      <c r="D6" s="4"/>
      <c r="E6" s="41"/>
      <c r="F6" s="39"/>
    </row>
    <row r="7" spans="1:6" ht="24" customHeight="1" x14ac:dyDescent="0.25">
      <c r="A7" s="2"/>
      <c r="B7" s="3"/>
      <c r="C7" s="3"/>
      <c r="D7" s="4"/>
      <c r="E7" s="41"/>
      <c r="F7" s="39"/>
    </row>
    <row r="8" spans="1:6" ht="24" customHeight="1" x14ac:dyDescent="0.25">
      <c r="A8" s="2"/>
      <c r="B8" s="3"/>
      <c r="C8" s="3"/>
      <c r="D8" s="4"/>
      <c r="E8" s="41"/>
      <c r="F8" s="39"/>
    </row>
    <row r="9" spans="1:6" ht="24" customHeight="1" x14ac:dyDescent="0.25">
      <c r="A9" s="2"/>
      <c r="B9" s="3"/>
      <c r="C9" s="3"/>
      <c r="D9" s="4"/>
      <c r="E9" s="41"/>
      <c r="F9" s="39"/>
    </row>
    <row r="10" spans="1:6" ht="24" customHeight="1" x14ac:dyDescent="0.25">
      <c r="A10" s="2"/>
      <c r="B10" s="3"/>
      <c r="C10" s="3"/>
      <c r="D10" s="4"/>
      <c r="E10" s="41"/>
      <c r="F10" s="39"/>
    </row>
    <row r="11" spans="1:6" ht="24" customHeight="1" x14ac:dyDescent="0.25">
      <c r="A11" s="2"/>
      <c r="B11" s="3"/>
      <c r="C11" s="3"/>
      <c r="D11" s="4"/>
      <c r="E11" s="41"/>
      <c r="F11" s="39"/>
    </row>
    <row r="12" spans="1:6" ht="24" customHeight="1" x14ac:dyDescent="0.25">
      <c r="A12" s="2"/>
      <c r="B12" s="3"/>
      <c r="C12" s="3"/>
      <c r="D12" s="4"/>
      <c r="E12" s="41"/>
      <c r="F12" s="39"/>
    </row>
    <row r="13" spans="1:6" ht="24" customHeight="1" x14ac:dyDescent="0.25">
      <c r="A13" s="2"/>
      <c r="B13" s="3"/>
      <c r="C13" s="3"/>
      <c r="D13" s="4"/>
      <c r="E13" s="41"/>
      <c r="F13" s="39"/>
    </row>
    <row r="14" spans="1:6" ht="24" customHeight="1" x14ac:dyDescent="0.25">
      <c r="A14" s="2"/>
      <c r="B14" s="3"/>
      <c r="C14" s="3"/>
      <c r="D14" s="4"/>
      <c r="E14" s="41"/>
      <c r="F14" s="39"/>
    </row>
    <row r="15" spans="1:6" ht="24" customHeight="1" x14ac:dyDescent="0.25">
      <c r="A15" s="2"/>
      <c r="B15" s="3"/>
      <c r="C15" s="3"/>
      <c r="D15" s="4"/>
      <c r="E15" s="41"/>
      <c r="F15" s="39"/>
    </row>
    <row r="16" spans="1:6" ht="24" customHeight="1" x14ac:dyDescent="0.25">
      <c r="A16" s="2"/>
      <c r="B16" s="3"/>
      <c r="C16" s="3"/>
      <c r="D16" s="4"/>
      <c r="E16" s="41"/>
      <c r="F16" s="39"/>
    </row>
    <row r="17" spans="1:6" ht="24" customHeight="1" x14ac:dyDescent="0.25">
      <c r="A17" s="2"/>
      <c r="B17" s="3"/>
      <c r="C17" s="3"/>
      <c r="D17" s="4"/>
      <c r="E17" s="41"/>
      <c r="F17" s="39"/>
    </row>
    <row r="18" spans="1:6" ht="24" customHeight="1" x14ac:dyDescent="0.25">
      <c r="A18" s="2"/>
      <c r="B18" s="3"/>
      <c r="C18" s="3"/>
      <c r="D18" s="4"/>
      <c r="E18" s="41"/>
      <c r="F18" s="38"/>
    </row>
  </sheetData>
  <mergeCells count="1">
    <mergeCell ref="A1:E1"/>
  </mergeCells>
  <conditionalFormatting sqref="B4:B18">
    <cfRule type="cellIs" dxfId="17" priority="5" operator="equal">
      <formula>"Not Started"</formula>
    </cfRule>
    <cfRule type="cellIs" dxfId="16" priority="6" operator="equal">
      <formula>"In Progress"</formula>
    </cfRule>
    <cfRule type="cellIs" dxfId="15" priority="7" operator="equal">
      <formula>"Completed"</formula>
    </cfRule>
  </conditionalFormatting>
  <conditionalFormatting sqref="C4:C18">
    <cfRule type="cellIs" dxfId="14" priority="1" operator="equal">
      <formula>"Green"</formula>
    </cfRule>
    <cfRule type="cellIs" dxfId="13" priority="2" operator="equal">
      <formula>"Amber"</formula>
    </cfRule>
    <cfRule type="cellIs" dxfId="12" priority="3" operator="equal">
      <formula>"Red"</formula>
    </cfRule>
  </conditionalFormatting>
  <dataValidations count="3">
    <dataValidation type="list" allowBlank="1" sqref="B4:B18" xr:uid="{00000000-0002-0000-0800-000000000000}">
      <formula1>"Not Started,In Progress,Completed"</formula1>
    </dataValidation>
    <dataValidation type="list" allowBlank="1" sqref="E4:E18" xr:uid="{00000000-0002-0000-0800-000002000000}">
      <formula1>"Quick active recall,Test key definitions,Practise examination questions,Review knowledge gaps,Practise calculations,Recall a case study,Test vocabulary,Practise a 16-mark question,Practise equations,Translate sentences"</formula1>
    </dataValidation>
    <dataValidation type="list" allowBlank="1" showInputMessage="1" showErrorMessage="1" sqref="C4:C1000" xr:uid="{5CD10166-6FE4-4EB5-91B1-D37A7BE2EFF9}">
      <formula1>"Green,Amber,Red"</formula1>
    </dataValidation>
  </dataValidations>
  <hyperlinks>
    <hyperlink ref="A2" location="'Dashboard'!A1" display="&lt; Return to Dashboard" xr:uid="{AD72605E-D32B-4218-B4CF-360171F9B183}"/>
  </hyperlinks>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8"/>
  <sheetViews>
    <sheetView showGridLines="0" workbookViewId="0">
      <pane ySplit="3" topLeftCell="A4" activePane="bottomLeft" state="frozen"/>
      <selection pane="bottomLeft" activeCell="A2" sqref="A2"/>
    </sheetView>
  </sheetViews>
  <sheetFormatPr defaultRowHeight="15" x14ac:dyDescent="0.25"/>
  <cols>
    <col min="1" max="1" width="36" customWidth="1"/>
    <col min="2" max="2" width="14" customWidth="1"/>
    <col min="3" max="3" width="21.140625" customWidth="1"/>
    <col min="4" max="4" width="22.42578125" style="19" customWidth="1"/>
    <col min="5" max="5" width="38" customWidth="1"/>
    <col min="6" max="6" width="55.7109375" customWidth="1"/>
  </cols>
  <sheetData>
    <row r="1" spans="1:6" ht="32.1" customHeight="1" x14ac:dyDescent="0.25">
      <c r="A1" s="55" t="s">
        <v>108</v>
      </c>
      <c r="B1" s="43"/>
      <c r="C1" s="43"/>
      <c r="D1" s="43"/>
      <c r="E1" s="43"/>
    </row>
    <row r="2" spans="1:6" ht="18" customHeight="1" x14ac:dyDescent="0.25">
      <c r="A2" s="34" t="s">
        <v>30</v>
      </c>
    </row>
    <row r="3" spans="1:6" ht="26.1" customHeight="1" x14ac:dyDescent="0.25">
      <c r="A3" s="7" t="s">
        <v>31</v>
      </c>
      <c r="B3" s="7" t="s">
        <v>32</v>
      </c>
      <c r="C3" s="7" t="s">
        <v>33</v>
      </c>
      <c r="D3" s="20" t="s">
        <v>23</v>
      </c>
      <c r="E3" s="7" t="s">
        <v>34</v>
      </c>
      <c r="F3" s="40" t="s">
        <v>130</v>
      </c>
    </row>
    <row r="4" spans="1:6" ht="113.25" customHeight="1" x14ac:dyDescent="0.25">
      <c r="A4" s="2" t="s">
        <v>109</v>
      </c>
      <c r="B4" s="3" t="s">
        <v>8</v>
      </c>
      <c r="C4" s="3" t="s">
        <v>22</v>
      </c>
      <c r="D4" s="4">
        <v>46314</v>
      </c>
      <c r="E4" s="37" t="s">
        <v>110</v>
      </c>
      <c r="F4" s="39"/>
    </row>
    <row r="5" spans="1:6" ht="45" customHeight="1" x14ac:dyDescent="0.25">
      <c r="A5" s="2" t="s">
        <v>111</v>
      </c>
      <c r="B5" s="3"/>
      <c r="C5" s="3"/>
      <c r="D5" s="4"/>
      <c r="E5" s="41"/>
      <c r="F5" s="39"/>
    </row>
    <row r="6" spans="1:6" ht="37.5" customHeight="1" x14ac:dyDescent="0.25">
      <c r="A6" s="2" t="s">
        <v>112</v>
      </c>
      <c r="B6" s="3"/>
      <c r="C6" s="3"/>
      <c r="D6" s="4"/>
      <c r="E6" s="41"/>
      <c r="F6" s="39"/>
    </row>
    <row r="7" spans="1:6" ht="40.5" customHeight="1" x14ac:dyDescent="0.25">
      <c r="A7" s="2" t="s">
        <v>113</v>
      </c>
      <c r="B7" s="3"/>
      <c r="C7" s="3"/>
      <c r="D7" s="4"/>
      <c r="E7" s="41"/>
      <c r="F7" s="39"/>
    </row>
    <row r="8" spans="1:6" ht="24" customHeight="1" x14ac:dyDescent="0.25">
      <c r="A8" s="2"/>
      <c r="B8" s="3"/>
      <c r="C8" s="3"/>
      <c r="D8" s="4"/>
      <c r="E8" s="41"/>
      <c r="F8" s="39"/>
    </row>
    <row r="9" spans="1:6" ht="24" customHeight="1" x14ac:dyDescent="0.25">
      <c r="A9" s="2"/>
      <c r="B9" s="3"/>
      <c r="C9" s="3"/>
      <c r="D9" s="4"/>
      <c r="E9" s="41"/>
      <c r="F9" s="39"/>
    </row>
    <row r="10" spans="1:6" ht="24" customHeight="1" x14ac:dyDescent="0.25">
      <c r="A10" s="2"/>
      <c r="B10" s="3"/>
      <c r="C10" s="3"/>
      <c r="D10" s="4"/>
      <c r="E10" s="41"/>
      <c r="F10" s="39"/>
    </row>
    <row r="11" spans="1:6" ht="24" customHeight="1" x14ac:dyDescent="0.25">
      <c r="A11" s="2"/>
      <c r="B11" s="3"/>
      <c r="C11" s="3"/>
      <c r="D11" s="4"/>
      <c r="E11" s="41"/>
      <c r="F11" s="39"/>
    </row>
    <row r="12" spans="1:6" ht="24" customHeight="1" x14ac:dyDescent="0.25">
      <c r="A12" s="2"/>
      <c r="B12" s="3"/>
      <c r="C12" s="3"/>
      <c r="D12" s="4"/>
      <c r="E12" s="41"/>
      <c r="F12" s="39"/>
    </row>
    <row r="13" spans="1:6" ht="24" customHeight="1" x14ac:dyDescent="0.25">
      <c r="A13" s="2"/>
      <c r="B13" s="3"/>
      <c r="C13" s="3"/>
      <c r="D13" s="4"/>
      <c r="E13" s="41"/>
      <c r="F13" s="39"/>
    </row>
    <row r="14" spans="1:6" ht="24" customHeight="1" x14ac:dyDescent="0.25">
      <c r="A14" s="2"/>
      <c r="B14" s="3"/>
      <c r="C14" s="3"/>
      <c r="D14" s="4"/>
      <c r="E14" s="41"/>
      <c r="F14" s="39"/>
    </row>
    <row r="15" spans="1:6" ht="24" customHeight="1" x14ac:dyDescent="0.25">
      <c r="A15" s="2"/>
      <c r="B15" s="3"/>
      <c r="C15" s="3"/>
      <c r="D15" s="4"/>
      <c r="E15" s="41"/>
      <c r="F15" s="39"/>
    </row>
    <row r="16" spans="1:6" ht="24" customHeight="1" x14ac:dyDescent="0.25">
      <c r="A16" s="2"/>
      <c r="B16" s="3"/>
      <c r="C16" s="3"/>
      <c r="D16" s="4"/>
      <c r="E16" s="41"/>
      <c r="F16" s="39"/>
    </row>
    <row r="17" spans="1:6" ht="24" customHeight="1" x14ac:dyDescent="0.25">
      <c r="A17" s="2"/>
      <c r="B17" s="3"/>
      <c r="C17" s="3"/>
      <c r="D17" s="4"/>
      <c r="E17" s="41"/>
      <c r="F17" s="39"/>
    </row>
    <row r="18" spans="1:6" ht="24" customHeight="1" x14ac:dyDescent="0.25">
      <c r="A18" s="2"/>
      <c r="B18" s="3"/>
      <c r="C18" s="3"/>
      <c r="D18" s="4"/>
      <c r="E18" s="41"/>
      <c r="F18" s="38"/>
    </row>
  </sheetData>
  <mergeCells count="1">
    <mergeCell ref="A1:E1"/>
  </mergeCells>
  <conditionalFormatting sqref="B4:B18">
    <cfRule type="cellIs" dxfId="11" priority="5" operator="equal">
      <formula>"Not Started"</formula>
    </cfRule>
    <cfRule type="cellIs" dxfId="10" priority="6" operator="equal">
      <formula>"In Progress"</formula>
    </cfRule>
    <cfRule type="cellIs" dxfId="9" priority="7" operator="equal">
      <formula>"Completed"</formula>
    </cfRule>
  </conditionalFormatting>
  <conditionalFormatting sqref="C4:C18">
    <cfRule type="cellIs" dxfId="8" priority="1" operator="equal">
      <formula>"Green"</formula>
    </cfRule>
    <cfRule type="cellIs" dxfId="7" priority="2" operator="equal">
      <formula>"Amber"</formula>
    </cfRule>
    <cfRule type="cellIs" dxfId="6" priority="3" operator="equal">
      <formula>"Red"</formula>
    </cfRule>
  </conditionalFormatting>
  <dataValidations count="3">
    <dataValidation type="list" allowBlank="1" sqref="B4:B18" xr:uid="{00000000-0002-0000-0900-000000000000}">
      <formula1>"Not Started,In Progress,Completed"</formula1>
    </dataValidation>
    <dataValidation type="list" allowBlank="1" sqref="E4:E18" xr:uid="{00000000-0002-0000-0900-000002000000}">
      <formula1>"Quick active recall,Test key definitions,Practise examination questions,Review knowledge gaps,Practise calculations,Recall a case study,Test vocabulary,Practise a 16-mark question,Practise equations,Translate sentences"</formula1>
    </dataValidation>
    <dataValidation type="list" allowBlank="1" showInputMessage="1" showErrorMessage="1" sqref="C4:C1000" xr:uid="{0362C242-C101-4AD1-A169-21453B952650}">
      <formula1>"Green,Amber,Red"</formula1>
    </dataValidation>
  </dataValidations>
  <hyperlinks>
    <hyperlink ref="A2" location="'Dashboard'!A1" display="&lt; Return to Dashboard" xr:uid="{B8F5389E-0181-4A32-9345-3D8FE1B6DDCA}"/>
  </hyperlinks>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8"/>
  <sheetViews>
    <sheetView showGridLines="0" zoomScale="115" zoomScaleNormal="115" workbookViewId="0">
      <pane ySplit="3" topLeftCell="A6" activePane="bottomLeft" state="frozen"/>
      <selection pane="bottomLeft" activeCell="I9" sqref="I9"/>
    </sheetView>
  </sheetViews>
  <sheetFormatPr defaultRowHeight="15" x14ac:dyDescent="0.25"/>
  <cols>
    <col min="1" max="1" width="36" customWidth="1"/>
    <col min="2" max="3" width="14" customWidth="1"/>
    <col min="4" max="4" width="15" style="19" customWidth="1"/>
    <col min="5" max="5" width="38" customWidth="1"/>
    <col min="6" max="6" width="55.7109375" customWidth="1"/>
  </cols>
  <sheetData>
    <row r="1" spans="1:6" ht="32.1" customHeight="1" x14ac:dyDescent="0.25">
      <c r="A1" s="54" t="s">
        <v>114</v>
      </c>
      <c r="B1" s="43"/>
      <c r="C1" s="43"/>
      <c r="D1" s="43"/>
      <c r="E1" s="43"/>
    </row>
    <row r="2" spans="1:6" ht="18" customHeight="1" x14ac:dyDescent="0.25">
      <c r="A2" s="34" t="s">
        <v>30</v>
      </c>
    </row>
    <row r="3" spans="1:6" ht="26.1" customHeight="1" x14ac:dyDescent="0.25">
      <c r="A3" s="8" t="s">
        <v>31</v>
      </c>
      <c r="B3" s="8" t="s">
        <v>32</v>
      </c>
      <c r="C3" s="8" t="s">
        <v>33</v>
      </c>
      <c r="D3" s="18" t="s">
        <v>23</v>
      </c>
      <c r="E3" s="8" t="s">
        <v>34</v>
      </c>
      <c r="F3" s="36" t="s">
        <v>130</v>
      </c>
    </row>
    <row r="4" spans="1:6" ht="44.25" customHeight="1" x14ac:dyDescent="0.25">
      <c r="A4" s="9" t="s">
        <v>115</v>
      </c>
      <c r="B4" s="10"/>
      <c r="C4" s="10"/>
      <c r="D4" s="11"/>
      <c r="E4" s="37"/>
      <c r="F4" s="39"/>
    </row>
    <row r="5" spans="1:6" ht="43.5" customHeight="1" x14ac:dyDescent="0.25">
      <c r="A5" s="9" t="s">
        <v>116</v>
      </c>
      <c r="B5" s="10"/>
      <c r="C5" s="10"/>
      <c r="D5" s="11"/>
      <c r="E5" s="37"/>
      <c r="F5" s="39"/>
    </row>
    <row r="6" spans="1:6" ht="48.75" customHeight="1" x14ac:dyDescent="0.25">
      <c r="A6" s="9" t="s">
        <v>117</v>
      </c>
      <c r="B6" s="10"/>
      <c r="C6" s="10"/>
      <c r="D6" s="11"/>
      <c r="E6" s="37"/>
      <c r="F6" s="39"/>
    </row>
    <row r="7" spans="1:6" ht="45.75" customHeight="1" x14ac:dyDescent="0.25">
      <c r="A7" s="9" t="s">
        <v>118</v>
      </c>
      <c r="B7" s="10"/>
      <c r="C7" s="10"/>
      <c r="D7" s="11"/>
      <c r="E7" s="37"/>
      <c r="F7" s="39"/>
    </row>
    <row r="8" spans="1:6" ht="57" customHeight="1" x14ac:dyDescent="0.25">
      <c r="A8" s="9" t="s">
        <v>119</v>
      </c>
      <c r="B8" s="10"/>
      <c r="C8" s="10"/>
      <c r="D8" s="11"/>
      <c r="E8" s="37"/>
      <c r="F8" s="39"/>
    </row>
    <row r="9" spans="1:6" ht="90.75" customHeight="1" x14ac:dyDescent="0.25">
      <c r="A9" s="9" t="s">
        <v>120</v>
      </c>
      <c r="B9" s="10" t="s">
        <v>9</v>
      </c>
      <c r="C9" s="10" t="s">
        <v>13</v>
      </c>
      <c r="D9" s="11">
        <v>46315</v>
      </c>
      <c r="E9" s="37" t="s">
        <v>121</v>
      </c>
      <c r="F9" s="39"/>
    </row>
    <row r="10" spans="1:6" ht="42" customHeight="1" x14ac:dyDescent="0.25">
      <c r="A10" s="9" t="s">
        <v>122</v>
      </c>
      <c r="B10" s="10"/>
      <c r="C10" s="10"/>
      <c r="D10" s="11"/>
      <c r="E10" s="37"/>
      <c r="F10" s="39"/>
    </row>
    <row r="11" spans="1:6" ht="43.5" customHeight="1" x14ac:dyDescent="0.25">
      <c r="A11" s="9" t="s">
        <v>123</v>
      </c>
      <c r="B11" s="10"/>
      <c r="C11" s="10"/>
      <c r="D11" s="11"/>
      <c r="E11" s="37"/>
      <c r="F11" s="39"/>
    </row>
    <row r="12" spans="1:6" ht="24" customHeight="1" x14ac:dyDescent="0.25">
      <c r="A12" s="9"/>
      <c r="B12" s="10"/>
      <c r="C12" s="10"/>
      <c r="D12" s="11"/>
      <c r="E12" s="37"/>
      <c r="F12" s="39"/>
    </row>
    <row r="13" spans="1:6" ht="24" customHeight="1" x14ac:dyDescent="0.25">
      <c r="A13" s="9"/>
      <c r="B13" s="10"/>
      <c r="C13" s="10"/>
      <c r="D13" s="11"/>
      <c r="E13" s="37"/>
      <c r="F13" s="39"/>
    </row>
    <row r="14" spans="1:6" ht="24" customHeight="1" x14ac:dyDescent="0.25">
      <c r="A14" s="9"/>
      <c r="B14" s="10"/>
      <c r="C14" s="10"/>
      <c r="D14" s="11"/>
      <c r="E14" s="37"/>
      <c r="F14" s="39"/>
    </row>
    <row r="15" spans="1:6" ht="24" customHeight="1" x14ac:dyDescent="0.25">
      <c r="A15" s="9"/>
      <c r="B15" s="10"/>
      <c r="C15" s="10"/>
      <c r="D15" s="11"/>
      <c r="E15" s="37"/>
      <c r="F15" s="39"/>
    </row>
    <row r="16" spans="1:6" ht="24" customHeight="1" x14ac:dyDescent="0.25">
      <c r="A16" s="9"/>
      <c r="B16" s="10"/>
      <c r="C16" s="10"/>
      <c r="D16" s="11"/>
      <c r="E16" s="37"/>
      <c r="F16" s="39"/>
    </row>
    <row r="17" spans="1:6" ht="24" customHeight="1" x14ac:dyDescent="0.25">
      <c r="A17" s="9"/>
      <c r="B17" s="10"/>
      <c r="C17" s="10"/>
      <c r="D17" s="11"/>
      <c r="E17" s="37"/>
      <c r="F17" s="39"/>
    </row>
    <row r="18" spans="1:6" ht="24" customHeight="1" x14ac:dyDescent="0.25">
      <c r="A18" s="9"/>
      <c r="B18" s="10"/>
      <c r="C18" s="10"/>
      <c r="D18" s="11"/>
      <c r="E18" s="37"/>
      <c r="F18" s="38"/>
    </row>
  </sheetData>
  <mergeCells count="1">
    <mergeCell ref="A1:E1"/>
  </mergeCells>
  <conditionalFormatting sqref="B4:B18">
    <cfRule type="cellIs" dxfId="5" priority="5" operator="equal">
      <formula>"Not Started"</formula>
    </cfRule>
    <cfRule type="cellIs" dxfId="4" priority="6" operator="equal">
      <formula>"In Progress"</formula>
    </cfRule>
    <cfRule type="cellIs" dxfId="3" priority="7" operator="equal">
      <formula>"Completed"</formula>
    </cfRule>
  </conditionalFormatting>
  <conditionalFormatting sqref="C4:C18">
    <cfRule type="cellIs" dxfId="2" priority="1" operator="equal">
      <formula>"Green"</formula>
    </cfRule>
    <cfRule type="cellIs" dxfId="1" priority="2" operator="equal">
      <formula>"Amber"</formula>
    </cfRule>
    <cfRule type="cellIs" dxfId="0" priority="3" operator="equal">
      <formula>"Red"</formula>
    </cfRule>
  </conditionalFormatting>
  <dataValidations count="3">
    <dataValidation type="list" allowBlank="1" sqref="B4:B18" xr:uid="{00000000-0002-0000-0A00-000000000000}">
      <formula1>"Not Started,In Progress,Completed"</formula1>
    </dataValidation>
    <dataValidation type="list" allowBlank="1" sqref="E4:E18" xr:uid="{00000000-0002-0000-0A00-000002000000}">
      <formula1>"Quick active recall,Test key definitions,Practise examination questions,Review knowledge gaps,Practise calculations,Recall a case study,Test vocabulary,Practise a 16-mark question,Practise equations,Translate sentences"</formula1>
    </dataValidation>
    <dataValidation type="list" allowBlank="1" showInputMessage="1" showErrorMessage="1" sqref="C4:C1000" xr:uid="{6C759799-FD58-478C-A3E1-2DA6CB9B7404}">
      <formula1>"Green,Amber,Red"</formula1>
    </dataValidation>
  </dataValidations>
  <hyperlinks>
    <hyperlink ref="A2" location="'Dashboard'!A1" display="&lt; Return to Dashboard" xr:uid="{CDB968D3-9478-4837-AD74-86FA9638F8B2}"/>
  </hyperlinks>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D12"/>
  <sheetViews>
    <sheetView showGridLines="0" workbookViewId="0">
      <selection activeCell="B9" sqref="B9"/>
    </sheetView>
  </sheetViews>
  <sheetFormatPr defaultRowHeight="15" x14ac:dyDescent="0.25"/>
  <cols>
    <col min="1" max="1" width="3" customWidth="1"/>
    <col min="2" max="2" width="22" customWidth="1"/>
    <col min="3" max="3" width="16" customWidth="1"/>
    <col min="4" max="4" width="3" customWidth="1"/>
  </cols>
  <sheetData>
    <row r="2" spans="2:4" ht="28.5" customHeight="1" x14ac:dyDescent="0.45">
      <c r="B2" s="57" t="s">
        <v>124</v>
      </c>
      <c r="C2" s="43"/>
      <c r="D2" s="43"/>
    </row>
    <row r="4" spans="2:4" ht="18.75" customHeight="1" x14ac:dyDescent="0.3">
      <c r="B4" s="44" t="s">
        <v>125</v>
      </c>
      <c r="C4" s="43"/>
      <c r="D4" s="43"/>
    </row>
    <row r="6" spans="2:4" ht="15.75" customHeight="1" x14ac:dyDescent="0.25">
      <c r="B6" s="12" t="s">
        <v>33</v>
      </c>
      <c r="C6" s="12" t="s">
        <v>126</v>
      </c>
    </row>
    <row r="7" spans="2:4" x14ac:dyDescent="0.25">
      <c r="B7" s="13" t="s">
        <v>14</v>
      </c>
      <c r="C7" s="3">
        <v>1</v>
      </c>
    </row>
    <row r="8" spans="2:4" x14ac:dyDescent="0.25">
      <c r="B8" s="14" t="s">
        <v>13</v>
      </c>
      <c r="C8" s="3">
        <v>3</v>
      </c>
    </row>
    <row r="9" spans="2:4" x14ac:dyDescent="0.25">
      <c r="B9" s="15" t="s">
        <v>22</v>
      </c>
      <c r="C9" s="3">
        <v>6</v>
      </c>
    </row>
    <row r="10" spans="2:4" x14ac:dyDescent="0.25">
      <c r="B10" s="16" t="s">
        <v>127</v>
      </c>
      <c r="C10" s="3" t="s">
        <v>128</v>
      </c>
    </row>
    <row r="12" spans="2:4" x14ac:dyDescent="0.25">
      <c r="B12" s="56" t="s">
        <v>129</v>
      </c>
      <c r="C12" s="43"/>
      <c r="D12" s="43"/>
    </row>
  </sheetData>
  <mergeCells count="3">
    <mergeCell ref="B12:D12"/>
    <mergeCell ref="B2:D2"/>
    <mergeCell ref="B4:D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3655B0D4A3F946B2B182A2452821C6" ma:contentTypeVersion="16" ma:contentTypeDescription="Create a new document." ma:contentTypeScope="" ma:versionID="7a9e24b6dc8563a5b2c5318cfdd77097">
  <xsd:schema xmlns:xsd="http://www.w3.org/2001/XMLSchema" xmlns:xs="http://www.w3.org/2001/XMLSchema" xmlns:p="http://schemas.microsoft.com/office/2006/metadata/properties" xmlns:ns3="0fb2ba46-83e9-4d91-a985-8245aaf43e5c" xmlns:ns4="ed8dfb7b-01af-4433-b4cc-631574050608" targetNamespace="http://schemas.microsoft.com/office/2006/metadata/properties" ma:root="true" ma:fieldsID="b443fa188f0c7e58c89b943786fc45fd" ns3:_="" ns4:_="">
    <xsd:import namespace="0fb2ba46-83e9-4d91-a985-8245aaf43e5c"/>
    <xsd:import namespace="ed8dfb7b-01af-4433-b4cc-631574050608"/>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4:SharedWithUsers" minOccurs="0"/>
                <xsd:element ref="ns4:SharedWithDetails" minOccurs="0"/>
                <xsd:element ref="ns4:SharingHintHash" minOccurs="0"/>
                <xsd:element ref="ns3:_activity" minOccurs="0"/>
                <xsd:element ref="ns3:MediaServiceObjectDetectorVersions" minOccurs="0"/>
                <xsd:element ref="ns3:MediaServiceSystemTag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b2ba46-83e9-4d91-a985-8245aaf43e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8dfb7b-01af-4433-b4cc-63157405060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fb2ba46-83e9-4d91-a985-8245aaf43e5c" xsi:nil="true"/>
  </documentManagement>
</p:properties>
</file>

<file path=customXml/itemProps1.xml><?xml version="1.0" encoding="utf-8"?>
<ds:datastoreItem xmlns:ds="http://schemas.openxmlformats.org/officeDocument/2006/customXml" ds:itemID="{CA2D1D04-17F3-4DB1-A413-D2712C8E33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b2ba46-83e9-4d91-a985-8245aaf43e5c"/>
    <ds:schemaRef ds:uri="ed8dfb7b-01af-4433-b4cc-6315740506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A9169F2-DC6F-440D-AA51-2EA02192DC48}">
  <ds:schemaRefs>
    <ds:schemaRef ds:uri="http://schemas.microsoft.com/sharepoint/v3/contenttype/forms"/>
  </ds:schemaRefs>
</ds:datastoreItem>
</file>

<file path=customXml/itemProps3.xml><?xml version="1.0" encoding="utf-8"?>
<ds:datastoreItem xmlns:ds="http://schemas.openxmlformats.org/officeDocument/2006/customXml" ds:itemID="{783C6A1E-EF8C-4F8F-AF56-34A608ED7025}">
  <ds:schemaRefs>
    <ds:schemaRef ds:uri="http://purl.org/dc/elements/1.1/"/>
    <ds:schemaRef ds:uri="http://schemas.microsoft.com/office/2006/metadata/properties"/>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http://purl.org/dc/terms/"/>
    <ds:schemaRef ds:uri="ed8dfb7b-01af-4433-b4cc-631574050608"/>
    <ds:schemaRef ds:uri="0fb2ba46-83e9-4d91-a985-8245aaf43e5c"/>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Revision Timetable</vt:lpstr>
      <vt:lpstr>Dashboard</vt:lpstr>
      <vt:lpstr>Biology</vt:lpstr>
      <vt:lpstr>Chemistry</vt:lpstr>
      <vt:lpstr>Physics</vt:lpstr>
      <vt:lpstr>Mathematics</vt:lpstr>
      <vt:lpstr>English Language</vt:lpstr>
      <vt:lpstr>English Literature</vt:lpstr>
      <vt:lpstr>Geography</vt:lpstr>
      <vt:lpstr>History</vt:lpstr>
      <vt:lpstr>Spanish</vt:lpstr>
      <vt:lpstr>Computer Science</vt:lpstr>
      <vt:lpstr>Settings</vt:lpstr>
      <vt:lpstr>Subjects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Chinedu Chile</cp:lastModifiedBy>
  <cp:revision/>
  <dcterms:created xsi:type="dcterms:W3CDTF">2026-10-11T11:12:22Z</dcterms:created>
  <dcterms:modified xsi:type="dcterms:W3CDTF">2026-10-21T09:52:37Z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0x0101006E3655B0D4A3F946B2B182A2452821C6</vt:lpwstr>
  </property>
</Properties>
</file>
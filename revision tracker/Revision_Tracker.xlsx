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48b5d172b360b34/Python Stuff/revision tracker/"/>
    </mc:Choice>
  </mc:AlternateContent>
  <xr:revisionPtr revIDLastSave="211" documentId="8_{18D838B1-020D-4004-8F3D-127CEC12EAB1}" xr6:coauthVersionLast="47" xr6:coauthVersionMax="47" xr10:uidLastSave="{061CFA63-D077-4CA6-836D-9C1035D22F3C}"/>
  <bookViews>
    <workbookView xWindow="-120" yWindow="-120" windowWidth="29040" windowHeight="15720" activeTab="1" xr2:uid="{00000000-000D-0000-FFFF-FFFF00000000}"/>
  </bookViews>
  <sheets>
    <sheet name="Revision Timetable" sheetId="13" r:id="rId1"/>
    <sheet name="Dashboard" sheetId="1" r:id="rId2"/>
    <sheet name="Biology" sheetId="2" r:id="rId3"/>
    <sheet name="Chemistry" sheetId="3" r:id="rId4"/>
    <sheet name="Physics" sheetId="4" r:id="rId5"/>
    <sheet name="Mathematics" sheetId="5" r:id="rId6"/>
    <sheet name="English Language" sheetId="6" r:id="rId7"/>
    <sheet name="English Literature" sheetId="7" r:id="rId8"/>
    <sheet name="Geography" sheetId="8" r:id="rId9"/>
    <sheet name="History" sheetId="9" r:id="rId10"/>
    <sheet name="Spanish" sheetId="10" r:id="rId11"/>
    <sheet name="Computer Science" sheetId="11" r:id="rId12"/>
    <sheet name="Settings" sheetId="12" r:id="rId13"/>
  </sheets>
  <definedNames>
    <definedName name="Subjects">Dashboard!$M$2:$M$11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G23" i="1"/>
  <c r="F23" i="1"/>
  <c r="E23" i="1"/>
  <c r="D23" i="1"/>
  <c r="B23" i="1"/>
  <c r="C23" i="1" s="1"/>
  <c r="H22" i="1"/>
  <c r="G22" i="1"/>
  <c r="F22" i="1"/>
  <c r="E22" i="1"/>
  <c r="D22" i="1"/>
  <c r="B22" i="1"/>
  <c r="C22" i="1" s="1"/>
  <c r="H21" i="1"/>
  <c r="G21" i="1"/>
  <c r="F21" i="1"/>
  <c r="E21" i="1"/>
  <c r="D21" i="1"/>
  <c r="B21" i="1"/>
  <c r="C21" i="1" s="1"/>
  <c r="H20" i="1"/>
  <c r="G20" i="1"/>
  <c r="F20" i="1"/>
  <c r="E20" i="1"/>
  <c r="D20" i="1"/>
  <c r="B20" i="1"/>
  <c r="C20" i="1" s="1"/>
  <c r="H19" i="1"/>
  <c r="G19" i="1"/>
  <c r="F19" i="1"/>
  <c r="E19" i="1"/>
  <c r="D19" i="1"/>
  <c r="B19" i="1"/>
  <c r="C19" i="1" s="1"/>
  <c r="H18" i="1"/>
  <c r="G18" i="1"/>
  <c r="F18" i="1"/>
  <c r="E18" i="1"/>
  <c r="D18" i="1"/>
  <c r="B18" i="1"/>
  <c r="C18" i="1" s="1"/>
  <c r="H17" i="1"/>
  <c r="G17" i="1"/>
  <c r="F17" i="1"/>
  <c r="E17" i="1"/>
  <c r="D17" i="1"/>
  <c r="B17" i="1"/>
  <c r="C17" i="1" s="1"/>
  <c r="H16" i="1"/>
  <c r="G16" i="1"/>
  <c r="F16" i="1"/>
  <c r="E16" i="1"/>
  <c r="D16" i="1"/>
  <c r="B16" i="1"/>
  <c r="C16" i="1" s="1"/>
  <c r="H15" i="1"/>
  <c r="G15" i="1"/>
  <c r="F15" i="1"/>
  <c r="E15" i="1"/>
  <c r="D15" i="1"/>
  <c r="B15" i="1"/>
  <c r="C15" i="1" s="1"/>
  <c r="H14" i="1"/>
  <c r="G14" i="1"/>
  <c r="F14" i="1"/>
  <c r="E14" i="1"/>
  <c r="D14" i="1"/>
  <c r="B14" i="1"/>
  <c r="C14" i="1" s="1"/>
  <c r="C9" i="1"/>
  <c r="A9" i="1"/>
  <c r="G6" i="1"/>
  <c r="E6" i="1"/>
  <c r="A6" i="1"/>
  <c r="C6" i="1" s="1"/>
</calcChain>
</file>

<file path=xl/sharedStrings.xml><?xml version="1.0" encoding="utf-8"?>
<sst xmlns="http://schemas.openxmlformats.org/spreadsheetml/2006/main" count="222" uniqueCount="137">
  <si>
    <t xml:space="preserve">  GCSE Revision Tracker — Dashboard</t>
  </si>
  <si>
    <t>Subject list (helper)</t>
  </si>
  <si>
    <t>Biology</t>
  </si>
  <si>
    <t>📊  Overall Progress</t>
  </si>
  <si>
    <t>Chemistry</t>
  </si>
  <si>
    <t>Physics</t>
  </si>
  <si>
    <t>Total topics</t>
  </si>
  <si>
    <t>Not Started</t>
  </si>
  <si>
    <t>In Progress</t>
  </si>
  <si>
    <t>Completed</t>
  </si>
  <si>
    <t>Mathematics</t>
  </si>
  <si>
    <t>English Language</t>
  </si>
  <si>
    <t>English Literature</t>
  </si>
  <si>
    <t>Amber</t>
  </si>
  <si>
    <t>Red</t>
  </si>
  <si>
    <t>Geography</t>
  </si>
  <si>
    <t>History</t>
  </si>
  <si>
    <t>Spanish</t>
  </si>
  <si>
    <t>Computer Science</t>
  </si>
  <si>
    <t>📚  Progress by Subject</t>
  </si>
  <si>
    <t>Subject</t>
  </si>
  <si>
    <t>Total Topics</t>
  </si>
  <si>
    <t>Green</t>
  </si>
  <si>
    <t xml:space="preserve">  Biology</t>
  </si>
  <si>
    <t xml:space="preserve">  Chemistry</t>
  </si>
  <si>
    <t xml:space="preserve">  Physics</t>
  </si>
  <si>
    <t xml:space="preserve">  Mathematics</t>
  </si>
  <si>
    <t xml:space="preserve">  English Language</t>
  </si>
  <si>
    <t xml:space="preserve">  English Literature</t>
  </si>
  <si>
    <t xml:space="preserve">  Geography</t>
  </si>
  <si>
    <t xml:space="preserve">  History</t>
  </si>
  <si>
    <t xml:space="preserve">  Spanish</t>
  </si>
  <si>
    <t xml:space="preserve">  Computer Science</t>
  </si>
  <si>
    <t>🧭  How to choose what to revise</t>
  </si>
  <si>
    <t>•  Slots 1–3 of the day: your timetable tells you the subject. Open that subject tab and pick the topic.</t>
  </si>
  <si>
    <t>•  Slot 4 (maintenance): use this Dashboard. Pick 3 subjects with Red/Amber/overdue topics, 15 min each.</t>
  </si>
  <si>
    <t>•  Anything overdue? Do those first.  Then Red.  Then Amber.  Then oldest Last Revised.</t>
  </si>
  <si>
    <t>•  A subject with lots of Red or Overdue = focus there. A subject with lots of Green = leave it longer.</t>
  </si>
  <si>
    <t>Topic</t>
  </si>
  <si>
    <t>Status</t>
  </si>
  <si>
    <t>Confidence</t>
  </si>
  <si>
    <t>Last Revised</t>
  </si>
  <si>
    <t>Next Action</t>
  </si>
  <si>
    <t>Movements of molecules</t>
  </si>
  <si>
    <t>Excretion</t>
  </si>
  <si>
    <t>Human Reproduction</t>
  </si>
  <si>
    <t>Organisms in the environment</t>
  </si>
  <si>
    <t>Co-ordination and response</t>
  </si>
  <si>
    <t>Transport in Humans</t>
  </si>
  <si>
    <t>Transport in plants</t>
  </si>
  <si>
    <t>Inheritance</t>
  </si>
  <si>
    <t>Human Influences</t>
  </si>
  <si>
    <t>Characteristics of living organisms</t>
  </si>
  <si>
    <t>Variety of living organisms</t>
  </si>
  <si>
    <t>Levels of organisation</t>
  </si>
  <si>
    <t>Cell structure</t>
  </si>
  <si>
    <t>Biological Molecules</t>
  </si>
  <si>
    <t>Movement of substances</t>
  </si>
  <si>
    <t>Nutrition in humans</t>
  </si>
  <si>
    <t>Nutrition in plants</t>
  </si>
  <si>
    <t>Respiration</t>
  </si>
  <si>
    <t>Gas exchange in humans</t>
  </si>
  <si>
    <t>Gas exchange in plants</t>
  </si>
  <si>
    <t>Reproduction in plants</t>
  </si>
  <si>
    <t>Feeding relationships</t>
  </si>
  <si>
    <t>Cycles within ecosystems</t>
  </si>
  <si>
    <t>Principals of Chemistry  1a - 1e</t>
  </si>
  <si>
    <t>Bonding  1f - 1h</t>
  </si>
  <si>
    <t>Inorganic Chem part 1 - 1a - 1d</t>
  </si>
  <si>
    <t>Inorganic Chem part 2 - 1e - 1g</t>
  </si>
  <si>
    <t>Energetics</t>
  </si>
  <si>
    <t>Rates of Reaction</t>
  </si>
  <si>
    <t>Reversible reaction and equilbria</t>
  </si>
  <si>
    <t xml:space="preserve">y10 Organics </t>
  </si>
  <si>
    <t>y11 Organics</t>
  </si>
  <si>
    <t>9.1 Measuring waves + 10.1 Properties of waves &amp; EM Spectrum</t>
  </si>
  <si>
    <t>9.2 Electrostatics and electrical current</t>
  </si>
  <si>
    <t>9.3 Mains electricity + 10.4 Electrical circuits</t>
  </si>
  <si>
    <t>9.4 Astronomy</t>
  </si>
  <si>
    <t>9.5 Measuring motion + 10.3 Unbalanced forces and acceleration</t>
  </si>
  <si>
    <t>9.6 Magnetism and electromagnets + 10.6 Electromagnetism</t>
  </si>
  <si>
    <t>9.7 Energy types and energy resources + 10.2 Energy transfer, work and power</t>
  </si>
  <si>
    <t>9.8 Density and pressure + 10.5 Pressure in Liquids and Ideal Gases</t>
  </si>
  <si>
    <t>10.7 Thermal energy and Change of State</t>
  </si>
  <si>
    <t>11.1 Radioactivity</t>
  </si>
  <si>
    <t>11.2 Forces, Momentum &amp; Moments</t>
  </si>
  <si>
    <t>Do Lots of Past Papers</t>
  </si>
  <si>
    <t>Do the reasoning and problem solving question papers on firefly</t>
  </si>
  <si>
    <t>Between A Rock &amp; Hard Place Annotation and practise questions</t>
  </si>
  <si>
    <t>Transactional Writing Practise: Magazine article</t>
  </si>
  <si>
    <r>
      <rPr>
        <b/>
        <sz val="11"/>
        <color theme="1"/>
        <rFont val="Calibri"/>
        <family val="2"/>
        <scheme val="minor"/>
      </rPr>
      <t>Bhutan: Beyond the sky &amp; earth</t>
    </r>
    <r>
      <rPr>
        <sz val="11"/>
        <color theme="1"/>
        <rFont val="Calibri"/>
        <family val="2"/>
        <scheme val="minor"/>
      </rPr>
      <t xml:space="preserve"> Annotation and practise questions</t>
    </r>
  </si>
  <si>
    <t>Man this was not easy. Try use chatgpt to show you how to answer these questions and then try to actually get better answers. Complete 1 question from each section then move onto a new topic. Man this ain't easy.</t>
  </si>
  <si>
    <r>
      <rPr>
        <b/>
        <sz val="11"/>
        <color theme="1"/>
        <rFont val="Calibri"/>
        <family val="2"/>
        <scheme val="minor"/>
      </rPr>
      <t>The Danger of a single story</t>
    </r>
    <r>
      <rPr>
        <sz val="11"/>
        <color theme="1"/>
        <rFont val="Calibri"/>
        <family val="2"/>
        <scheme val="minor"/>
      </rPr>
      <t xml:space="preserve"> annotation and practise questions</t>
    </r>
  </si>
  <si>
    <r>
      <rPr>
        <b/>
        <sz val="11"/>
        <color theme="1"/>
        <rFont val="Calibri"/>
        <family val="2"/>
        <scheme val="minor"/>
      </rPr>
      <t>Young and dyslexic</t>
    </r>
    <r>
      <rPr>
        <sz val="11"/>
        <color theme="1"/>
        <rFont val="Calibri"/>
        <family val="2"/>
        <scheme val="minor"/>
      </rPr>
      <t xml:space="preserve"> and annotation and practise questions</t>
    </r>
  </si>
  <si>
    <r>
      <rPr>
        <b/>
        <sz val="11"/>
        <color rgb="FF000000"/>
        <rFont val="Calibri"/>
        <family val="2"/>
        <scheme val="minor"/>
      </rPr>
      <t xml:space="preserve">Explorers, or boys messing about: </t>
    </r>
    <r>
      <rPr>
        <sz val="11"/>
        <color rgb="FF000000"/>
        <rFont val="Calibri"/>
        <family val="2"/>
        <scheme val="minor"/>
      </rPr>
      <t xml:space="preserve"> annotation and practise questions</t>
    </r>
  </si>
  <si>
    <r>
      <rPr>
        <b/>
        <sz val="11"/>
        <color theme="1"/>
        <rFont val="Calibri"/>
        <family val="2"/>
        <scheme val="minor"/>
      </rPr>
      <t>You've got it going on</t>
    </r>
    <r>
      <rPr>
        <sz val="11"/>
        <color theme="1"/>
        <rFont val="Calibri"/>
        <family val="2"/>
        <scheme val="minor"/>
      </rPr>
      <t>: annotation and practise questions</t>
    </r>
  </si>
  <si>
    <r>
      <rPr>
        <b/>
        <sz val="11"/>
        <color theme="1"/>
        <rFont val="Calibri"/>
        <family val="2"/>
        <scheme val="minor"/>
      </rPr>
      <t>Between A Rock &amp; Hard Place</t>
    </r>
    <r>
      <rPr>
        <sz val="11"/>
        <color theme="1"/>
        <rFont val="Calibri"/>
        <family val="2"/>
        <scheme val="minor"/>
      </rPr>
      <t>: Annotation and practise questions</t>
    </r>
  </si>
  <si>
    <t>Transactional Writing Practise: Letter</t>
  </si>
  <si>
    <t>Transactional Writing Practise: Leaflet text</t>
  </si>
  <si>
    <t>Transactional Writing Practise: Guide</t>
  </si>
  <si>
    <t>Quotations and meaning for VFAB Characters - Eddie, Alfieri, Catherine, Rodolfo</t>
  </si>
  <si>
    <t>VFAB - Themes:  Loyalty and honour
Justice
Transition and change</t>
  </si>
  <si>
    <t>do a recap on sme. get quotations about themes and then analyse quotations</t>
  </si>
  <si>
    <t>Practise planning and writing essays for VFAB</t>
  </si>
  <si>
    <t>Quotations and meaning for Romeo &amp; Juliet characters - Eddie, Alfieri, Catherine, Rodolfo</t>
  </si>
  <si>
    <t>Romeo and Juliet: Revise themes: ❤️ Love and romance
👑 Power and control
🕊️ Hope and forgiveness</t>
  </si>
  <si>
    <t>Practise planning and writing essays for R&amp;J</t>
  </si>
  <si>
    <t>Hazards</t>
  </si>
  <si>
    <t>Economic Activity &amp; energy</t>
  </si>
  <si>
    <t>Coasts</t>
  </si>
  <si>
    <t>Coastal Fieldwork</t>
  </si>
  <si>
    <t>Urban Environments</t>
  </si>
  <si>
    <t>Continue Chatgpt quiz. Finish the entire thing then make flashcards for key things I need to know. Its looking good tho. :)</t>
  </si>
  <si>
    <t>America 1918 - 1941</t>
  </si>
  <si>
    <t>Do practise questions on chapters 3,4,5</t>
  </si>
  <si>
    <t>US Civil Rights</t>
  </si>
  <si>
    <t>History of Medicine</t>
  </si>
  <si>
    <t>New Vocab + Oral practise</t>
  </si>
  <si>
    <t>Grammer + Writing</t>
  </si>
  <si>
    <t>Exam paper practise</t>
  </si>
  <si>
    <t>Listening practise + New Vocab</t>
  </si>
  <si>
    <t>1.1 - Systems Architecture</t>
  </si>
  <si>
    <t>1.2 - Memory and storage</t>
  </si>
  <si>
    <t xml:space="preserve">1.3 - Computer networks, connections and protocols </t>
  </si>
  <si>
    <t>1.4 - Network security</t>
  </si>
  <si>
    <t>1.5 - Systems software</t>
  </si>
  <si>
    <t>1.6 - Ethical, legal, cultural and environmental impacts of digital technology</t>
  </si>
  <si>
    <t>Do exam questions on PMT then mark it. Look at the 8 marker as well. If time do exam questions on chatgpt</t>
  </si>
  <si>
    <t>2.1 - Algorithms</t>
  </si>
  <si>
    <t>2.2 - Producing robust programs</t>
  </si>
  <si>
    <t>⚙  Settings</t>
  </si>
  <si>
    <t>Review intervals — how many days until a topic comes back</t>
  </si>
  <si>
    <t>Interval (days)</t>
  </si>
  <si>
    <t>Not Assessed</t>
  </si>
  <si>
    <t>—</t>
  </si>
  <si>
    <t>Edit the interval numbers in column C to change how often topics come back.</t>
  </si>
  <si>
    <t>&lt; Return to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</si>
</sst>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22"/>
      <color rgb="FF1F3864"/>
      <name val="Calibri"/>
    </font>
    <font>
      <b/>
      <sz val="14"/>
      <color rgb="FF1F3864"/>
      <name val="Calibri"/>
    </font>
    <font>
      <b/>
      <sz val="12"/>
      <color rgb="FFFFFFFF"/>
      <name val="Calibri"/>
    </font>
    <font>
      <b/>
      <sz val="11"/>
      <name val="Calibri"/>
    </font>
    <font>
      <i/>
      <sz val="10"/>
      <color rgb="FF555555"/>
      <name val="Calibri"/>
    </font>
    <font>
      <b/>
      <sz val="18"/>
      <color rgb="FFFFFFFF"/>
      <name val="Calibri"/>
    </font>
    <font>
      <b/>
      <sz val="22"/>
      <color rgb="FFFFFFFF"/>
      <name val="Calibri"/>
    </font>
    <font>
      <b/>
      <sz val="11"/>
      <color rgb="FF333333"/>
      <name val="Calibri"/>
    </font>
    <font>
      <b/>
      <sz val="20"/>
      <color rgb="FF1F3864"/>
      <name val="Calibri"/>
    </font>
    <font>
      <sz val="11"/>
      <color rgb="FF333333"/>
      <name val="Calibri"/>
    </font>
    <font>
      <sz val="11"/>
      <name val="Segoe UI"/>
      <family val="2"/>
    </font>
    <font>
      <b/>
      <sz val="18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B3B3B"/>
      <name val="Calibri"/>
      <family val="2"/>
      <scheme val="minor"/>
    </font>
    <font>
      <i/>
      <sz val="10"/>
      <color rgb="FF80808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8B6B6"/>
      </patternFill>
    </fill>
    <fill>
      <patternFill patternType="solid">
        <fgColor rgb="FFFFE699"/>
      </patternFill>
    </fill>
    <fill>
      <patternFill patternType="solid">
        <fgColor rgb="FFC6EFCE"/>
      </patternFill>
    </fill>
    <fill>
      <patternFill patternType="solid">
        <fgColor rgb="FFE7E6E6"/>
      </patternFill>
    </fill>
    <fill>
      <patternFill patternType="solid">
        <fgColor rgb="FF2E75B6"/>
      </patternFill>
    </fill>
    <fill>
      <patternFill patternType="solid">
        <fgColor rgb="FFF2F6FB"/>
      </patternFill>
    </fill>
    <fill>
      <patternFill patternType="solid">
        <fgColor rgb="FFCFE2F3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</patternFill>
    </fill>
  </fills>
  <borders count="5">
    <border>
      <left/>
      <right/>
      <top/>
      <bottom/>
      <diagonal/>
    </border>
    <border>
      <left style="thin">
        <color rgb="FFBFD4EA"/>
      </left>
      <right style="thin">
        <color rgb="FFBFD4EA"/>
      </right>
      <top style="thin">
        <color rgb="FFBFD4EA"/>
      </top>
      <bottom style="medium">
        <color rgb="FF1F3864"/>
      </bottom>
      <diagonal/>
    </border>
    <border>
      <left/>
      <right style="thin">
        <color rgb="FFBFD4EA"/>
      </right>
      <top style="thin">
        <color rgb="FFBFD4EA"/>
      </top>
      <bottom style="medium">
        <color rgb="FF1F3864"/>
      </bottom>
      <diagonal/>
    </border>
    <border>
      <left style="thin">
        <color rgb="FFBFD4EA"/>
      </left>
      <right style="thin">
        <color rgb="FFBFD4EA"/>
      </right>
      <top style="thin">
        <color rgb="FFBFD4EA"/>
      </top>
      <bottom style="thin">
        <color rgb="FFBFD4EA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</borders>
  <cellStyleXfs count="3">
    <xf numFmtId="0" fontId="0" fillId="0" borderId="0"/>
    <xf numFmtId="0" fontId="16" fillId="0" borderId="0" applyNumberFormat="0" applyFill="0" applyBorder="0" applyAlignment="0" applyProtection="0"/>
    <xf numFmtId="0" fontId="19" fillId="12" borderId="0" applyNumberFormat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11" fillId="0" borderId="0" xfId="0" applyFont="1" applyAlignment="1">
      <alignment wrapText="1"/>
    </xf>
    <xf numFmtId="0" fontId="8" fillId="8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14" fontId="0" fillId="0" borderId="0" xfId="0" applyNumberFormat="1" applyAlignment="1">
      <alignment wrapText="1"/>
    </xf>
    <xf numFmtId="14" fontId="3" fillId="7" borderId="3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4" fontId="3" fillId="7" borderId="3" xfId="0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left" vertical="center" wrapText="1"/>
    </xf>
    <xf numFmtId="0" fontId="18" fillId="0" borderId="0" xfId="1" applyFont="1" applyAlignment="1">
      <alignment horizontal="left" wrapText="1" indent="1"/>
    </xf>
    <xf numFmtId="0" fontId="18" fillId="0" borderId="0" xfId="1" applyFont="1" applyAlignment="1">
      <alignment horizontal="left" indent="1"/>
    </xf>
    <xf numFmtId="0" fontId="17" fillId="10" borderId="4" xfId="1" applyFont="1" applyFill="1" applyBorder="1" applyAlignment="1">
      <alignment horizontal="center"/>
    </xf>
    <xf numFmtId="0" fontId="17" fillId="11" borderId="4" xfId="1" applyFont="1" applyFill="1" applyBorder="1" applyAlignment="1">
      <alignment horizontal="center"/>
    </xf>
    <xf numFmtId="0" fontId="6" fillId="2" borderId="0" xfId="0" applyFont="1" applyFill="1" applyAlignment="1">
      <alignment horizontal="left" vertical="center"/>
    </xf>
    <xf numFmtId="0" fontId="0" fillId="0" borderId="0" xfId="0"/>
    <xf numFmtId="0" fontId="2" fillId="0" borderId="0" xfId="0" applyFont="1"/>
    <xf numFmtId="0" fontId="7" fillId="2" borderId="0" xfId="0" applyFont="1" applyFill="1" applyAlignment="1">
      <alignment horizontal="left" vertical="center"/>
    </xf>
    <xf numFmtId="0" fontId="10" fillId="8" borderId="0" xfId="0" applyFont="1" applyFill="1"/>
    <xf numFmtId="0" fontId="9" fillId="5" borderId="1" xfId="0" applyFont="1" applyFill="1" applyBorder="1" applyAlignment="1">
      <alignment horizontal="center" vertical="center"/>
    </xf>
    <xf numFmtId="0" fontId="0" fillId="0" borderId="2" xfId="0" applyBorder="1"/>
    <xf numFmtId="0" fontId="9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/>
    </xf>
    <xf numFmtId="0" fontId="12" fillId="2" borderId="0" xfId="0" applyFont="1" applyFill="1" applyAlignment="1">
      <alignment horizontal="left" vertical="center"/>
    </xf>
    <xf numFmtId="0" fontId="5" fillId="0" borderId="0" xfId="0" applyFont="1"/>
    <xf numFmtId="0" fontId="1" fillId="0" borderId="0" xfId="0" applyFont="1"/>
    <xf numFmtId="0" fontId="19" fillId="12" borderId="4" xfId="2" applyBorder="1" applyAlignment="1">
      <alignment horizontal="center" vertical="center"/>
    </xf>
  </cellXfs>
  <cellStyles count="3">
    <cellStyle name="Accent5" xfId="2" builtinId="45"/>
    <cellStyle name="Hyperlink" xfId="1" builtinId="8"/>
    <cellStyle name="Normal" xfId="0" builtinId="0"/>
  </cellStyles>
  <dxfs count="116"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ill>
        <patternFill patternType="solid">
          <fgColor rgb="FFF8B6B6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C6EFCE"/>
        </patternFill>
      </fill>
    </dxf>
    <dxf>
      <numFmt numFmtId="19" formatCode="dd/mm/yyyy"/>
    </dxf>
    <dxf>
      <numFmt numFmtId="19" formatCode="dd/mm/yyyy"/>
    </dxf>
    <dxf>
      <alignment wrapText="1"/>
    </dxf>
    <dxf>
      <numFmt numFmtId="19" formatCode="dd/mm/yyyy"/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wrapText="1"/>
    </dxf>
    <dxf>
      <numFmt numFmtId="19" formatCode="dd/mm/yyyy"/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</dxf>
    <dxf>
      <alignment wrapText="1"/>
    </dxf>
    <dxf>
      <numFmt numFmtId="19" formatCode="dd/mm/yyyy"/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4</xdr:row>
      <xdr:rowOff>1</xdr:rowOff>
    </xdr:from>
    <xdr:to>
      <xdr:col>20</xdr:col>
      <xdr:colOff>264537</xdr:colOff>
      <xdr:row>30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D1EF11-EB8C-E4B3-A3FB-8501B9969D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1" y="762001"/>
          <a:ext cx="11846936" cy="4991099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32</xdr:row>
      <xdr:rowOff>0</xdr:rowOff>
    </xdr:from>
    <xdr:to>
      <xdr:col>20</xdr:col>
      <xdr:colOff>266700</xdr:colOff>
      <xdr:row>60</xdr:row>
      <xdr:rowOff>17241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10268D-91A7-3149-B61A-51B8BF7412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700" y="6096000"/>
          <a:ext cx="11811000" cy="535124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ologyTbl" displayName="BiologyTbl" ref="A3:E27" headerRowDxfId="107" dataDxfId="106" totalsRowDxfId="105">
  <autoFilter ref="A3:E27" xr:uid="{00000000-0009-0000-0100-000001000000}"/>
  <tableColumns count="5">
    <tableColumn id="1" xr3:uid="{00000000-0010-0000-0000-000001000000}" name="Topic" dataDxfId="104"/>
    <tableColumn id="2" xr3:uid="{00000000-0010-0000-0000-000002000000}" name="Status" dataDxfId="103"/>
    <tableColumn id="3" xr3:uid="{00000000-0010-0000-0000-000003000000}" name="Confidence" dataDxfId="102"/>
    <tableColumn id="4" xr3:uid="{00000000-0010-0000-0000-000004000000}" name="Last Revised" dataDxfId="101"/>
    <tableColumn id="6" xr3:uid="{00000000-0010-0000-0000-000006000000}" name="Next Action" dataDxfId="100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mistryTbl" displayName="ChemistryTbl" ref="A3:E18">
  <autoFilter ref="A3:E18" xr:uid="{00000000-0009-0000-0100-000002000000}"/>
  <tableColumns count="5">
    <tableColumn id="1" xr3:uid="{00000000-0010-0000-0100-000001000000}" name="Topic"/>
    <tableColumn id="2" xr3:uid="{00000000-0010-0000-0100-000002000000}" name="Status"/>
    <tableColumn id="3" xr3:uid="{00000000-0010-0000-0100-000003000000}" name="Confidence"/>
    <tableColumn id="4" xr3:uid="{00000000-0010-0000-0100-000004000000}" name="Last Revised" dataDxfId="99"/>
    <tableColumn id="6" xr3:uid="{00000000-0010-0000-0100-000006000000}" name="Next Action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hysicsTbl" displayName="PhysicsTbl" ref="A3:E18" dataDxfId="98">
  <autoFilter ref="A3:E18" xr:uid="{00000000-0009-0000-0100-000003000000}"/>
  <tableColumns count="5">
    <tableColumn id="1" xr3:uid="{00000000-0010-0000-0200-000001000000}" name="Topic" dataDxfId="97"/>
    <tableColumn id="2" xr3:uid="{00000000-0010-0000-0200-000002000000}" name="Status" dataDxfId="96"/>
    <tableColumn id="3" xr3:uid="{00000000-0010-0000-0200-000003000000}" name="Confidence" dataDxfId="95"/>
    <tableColumn id="4" xr3:uid="{00000000-0010-0000-0200-000004000000}" name="Last Revised" dataDxfId="94"/>
    <tableColumn id="6" xr3:uid="{00000000-0010-0000-0200-000006000000}" name="Next Action" dataDxfId="93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thematicsTbl" displayName="MathematicsTbl" ref="A3:E18" headerRowDxfId="92" dataDxfId="91" totalsRowDxfId="90">
  <autoFilter ref="A3:E18" xr:uid="{00000000-0009-0000-0100-000004000000}"/>
  <tableColumns count="5">
    <tableColumn id="1" xr3:uid="{00000000-0010-0000-0300-000001000000}" name="Topic" dataDxfId="89"/>
    <tableColumn id="2" xr3:uid="{00000000-0010-0000-0300-000002000000}" name="Status" dataDxfId="88"/>
    <tableColumn id="3" xr3:uid="{00000000-0010-0000-0300-000003000000}" name="Confidence" dataDxfId="87"/>
    <tableColumn id="4" xr3:uid="{00000000-0010-0000-0300-000004000000}" name="Last Revised" dataDxfId="86"/>
    <tableColumn id="6" xr3:uid="{00000000-0010-0000-0300-000006000000}" name="Next Action" dataDxfId="85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nglishLanguageTbl" displayName="EnglishLanguageTbl" ref="A3:E18" dataDxfId="84">
  <autoFilter ref="A3:E18" xr:uid="{00000000-0009-0000-0100-000005000000}"/>
  <tableColumns count="5">
    <tableColumn id="1" xr3:uid="{00000000-0010-0000-0400-000001000000}" name="Topic" dataDxfId="83"/>
    <tableColumn id="2" xr3:uid="{00000000-0010-0000-0400-000002000000}" name="Status" dataDxfId="82"/>
    <tableColumn id="3" xr3:uid="{00000000-0010-0000-0400-000003000000}" name="Confidence" dataDxfId="81"/>
    <tableColumn id="4" xr3:uid="{00000000-0010-0000-0400-000004000000}" name="Last Revised" dataDxfId="80"/>
    <tableColumn id="6" xr3:uid="{00000000-0010-0000-0400-000006000000}" name="Next Action" dataDxfId="79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nglishLiteratureTbl" displayName="EnglishLiteratureTbl" ref="A3:E18" headerRowDxfId="78" dataDxfId="77" totalsRowDxfId="76">
  <autoFilter ref="A3:E18" xr:uid="{00000000-0009-0000-0100-000006000000}"/>
  <tableColumns count="5">
    <tableColumn id="1" xr3:uid="{00000000-0010-0000-0500-000001000000}" name="Topic" dataDxfId="75"/>
    <tableColumn id="2" xr3:uid="{00000000-0010-0000-0500-000002000000}" name="Status" dataDxfId="74"/>
    <tableColumn id="3" xr3:uid="{00000000-0010-0000-0500-000003000000}" name="Confidence" dataDxfId="73"/>
    <tableColumn id="4" xr3:uid="{00000000-0010-0000-0500-000004000000}" name="Last Revised" dataDxfId="72"/>
    <tableColumn id="6" xr3:uid="{00000000-0010-0000-0500-000006000000}" name="Next Action" dataDxfId="71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GeographyTbl" displayName="GeographyTbl" ref="A3:E18" dataDxfId="70">
  <autoFilter ref="A3:E18" xr:uid="{00000000-0009-0000-0100-000007000000}"/>
  <tableColumns count="5">
    <tableColumn id="1" xr3:uid="{00000000-0010-0000-0600-000001000000}" name="Topic" dataDxfId="69"/>
    <tableColumn id="2" xr3:uid="{00000000-0010-0000-0600-000002000000}" name="Status" dataDxfId="68"/>
    <tableColumn id="3" xr3:uid="{00000000-0010-0000-0600-000003000000}" name="Confidence" dataDxfId="67"/>
    <tableColumn id="4" xr3:uid="{00000000-0010-0000-0600-000004000000}" name="Last Revised" dataDxfId="66"/>
    <tableColumn id="6" xr3:uid="{00000000-0010-0000-0600-000006000000}" name="Next Action" dataDxfId="65"/>
  </tableColumns>
  <tableStyleInfo name="TableStyleLight1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HistoryTbl" displayName="HistoryTbl" ref="A3:E18">
  <autoFilter ref="A3:E18" xr:uid="{00000000-0009-0000-0100-000008000000}"/>
  <tableColumns count="5">
    <tableColumn id="1" xr3:uid="{00000000-0010-0000-0700-000001000000}" name="Topic"/>
    <tableColumn id="2" xr3:uid="{00000000-0010-0000-0700-000002000000}" name="Status"/>
    <tableColumn id="3" xr3:uid="{00000000-0010-0000-0700-000003000000}" name="Confidence"/>
    <tableColumn id="4" xr3:uid="{00000000-0010-0000-0700-000004000000}" name="Last Revised" dataDxfId="64"/>
    <tableColumn id="6" xr3:uid="{00000000-0010-0000-0700-000006000000}" name="Next Action"/>
  </tableColumns>
  <tableStyleInfo name="TableStyleLight1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panishTbl" displayName="SpanishTbl" ref="A3:E18">
  <autoFilter ref="A3:E18" xr:uid="{00000000-0009-0000-0100-000009000000}"/>
  <tableColumns count="5">
    <tableColumn id="1" xr3:uid="{00000000-0010-0000-0800-000001000000}" name="Topic"/>
    <tableColumn id="2" xr3:uid="{00000000-0010-0000-0800-000002000000}" name="Status"/>
    <tableColumn id="3" xr3:uid="{00000000-0010-0000-0800-000003000000}" name="Confidence"/>
    <tableColumn id="4" xr3:uid="{00000000-0010-0000-0800-000004000000}" name="Last Revised" dataDxfId="63"/>
    <tableColumn id="6" xr3:uid="{00000000-0010-0000-0800-000006000000}" name="Next Action"/>
  </tableColumns>
  <tableStyleInfo name="TableStyleLight1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ComputerScienceTbl" displayName="ComputerScienceTbl" ref="A3:E18" headerRowDxfId="115" dataDxfId="114" totalsRowDxfId="113">
  <autoFilter ref="A3:E18" xr:uid="{00000000-0009-0000-0100-00000A000000}"/>
  <tableColumns count="5">
    <tableColumn id="1" xr3:uid="{00000000-0010-0000-0900-000001000000}" name="Topic" dataDxfId="112"/>
    <tableColumn id="2" xr3:uid="{00000000-0010-0000-0900-000002000000}" name="Status" dataDxfId="111"/>
    <tableColumn id="3" xr3:uid="{00000000-0010-0000-0900-000003000000}" name="Confidence" dataDxfId="110"/>
    <tableColumn id="4" xr3:uid="{00000000-0010-0000-0900-000004000000}" name="Last Revised" dataDxfId="109"/>
    <tableColumn id="6" xr3:uid="{00000000-0010-0000-0900-000006000000}" name="Next Action" dataDxfId="108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FF182-A9DF-49CA-A197-60E29E93D9CE}">
  <dimension ref="A1"/>
  <sheetViews>
    <sheetView topLeftCell="A4" zoomScale="85" zoomScaleNormal="85" zoomScaleSheetLayoutView="100" workbookViewId="0">
      <selection activeCell="AC13" sqref="AC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showGridLines="0" tabSelected="1" topLeftCell="A10" workbookViewId="0">
      <selection sqref="A1:K1"/>
    </sheetView>
  </sheetViews>
  <sheetFormatPr defaultRowHeight="15" x14ac:dyDescent="0.25"/>
  <cols>
    <col min="1" max="1" width="22" customWidth="1"/>
    <col min="2" max="2" width="17.85546875" customWidth="1"/>
    <col min="3" max="4" width="13" customWidth="1"/>
    <col min="5" max="5" width="16.28515625" customWidth="1"/>
    <col min="6" max="8" width="11" customWidth="1"/>
    <col min="13" max="13" width="13" hidden="1" customWidth="1"/>
  </cols>
  <sheetData>
    <row r="1" spans="1:13" ht="39.950000000000003" customHeight="1" x14ac:dyDescent="0.25">
      <c r="A1" s="29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M1" t="s">
        <v>1</v>
      </c>
    </row>
    <row r="2" spans="1:13" ht="8.1" customHeight="1" x14ac:dyDescent="0.25">
      <c r="M2" t="s">
        <v>2</v>
      </c>
    </row>
    <row r="3" spans="1:13" ht="26.1" customHeight="1" x14ac:dyDescent="0.3">
      <c r="A3" s="28" t="s">
        <v>3</v>
      </c>
      <c r="B3" s="27"/>
      <c r="C3" s="27"/>
      <c r="D3" s="27"/>
      <c r="E3" s="27"/>
      <c r="F3" s="27"/>
      <c r="M3" t="s">
        <v>4</v>
      </c>
    </row>
    <row r="4" spans="1:13" x14ac:dyDescent="0.25">
      <c r="M4" t="s">
        <v>5</v>
      </c>
    </row>
    <row r="5" spans="1:13" ht="20.100000000000001" customHeight="1" x14ac:dyDescent="0.25">
      <c r="A5" s="6" t="s">
        <v>6</v>
      </c>
      <c r="C5" s="6" t="s">
        <v>7</v>
      </c>
      <c r="E5" s="6" t="s">
        <v>8</v>
      </c>
      <c r="G5" s="6" t="s">
        <v>9</v>
      </c>
      <c r="M5" t="s">
        <v>10</v>
      </c>
    </row>
    <row r="6" spans="1:13" ht="38.1" customHeight="1" x14ac:dyDescent="0.25">
      <c r="A6" s="35">
        <f ca="1">SUMPRODUCT(COUNTIFS(INDIRECT("'"&amp;Subjects&amp;"'!A4:A1000"),"?*"))</f>
        <v>81</v>
      </c>
      <c r="B6" s="32"/>
      <c r="C6" s="37">
        <f ca="1">A6-E6-G6</f>
        <v>75</v>
      </c>
      <c r="D6" s="32"/>
      <c r="E6" s="36">
        <f ca="1">SUMPRODUCT(COUNTIFS(INDIRECT("'"&amp;Subjects&amp;"'!A4:A1000"),"?*",INDIRECT("'"&amp;Subjects&amp;"'!B4:B1000"),"In Progress"))</f>
        <v>5</v>
      </c>
      <c r="F6" s="32"/>
      <c r="G6" s="31">
        <f ca="1">SUMPRODUCT(COUNTIFS(INDIRECT("'"&amp;Subjects&amp;"'!A4:A1000"),"?*",INDIRECT("'"&amp;Subjects&amp;"'!B4:B1000"),"Completed"))</f>
        <v>1</v>
      </c>
      <c r="H6" s="32"/>
      <c r="M6" t="s">
        <v>11</v>
      </c>
    </row>
    <row r="7" spans="1:13" x14ac:dyDescent="0.25">
      <c r="M7" t="s">
        <v>12</v>
      </c>
    </row>
    <row r="8" spans="1:13" ht="20.100000000000001" customHeight="1" x14ac:dyDescent="0.25">
      <c r="A8" s="6" t="s">
        <v>13</v>
      </c>
      <c r="C8" s="6" t="s">
        <v>14</v>
      </c>
      <c r="M8" t="s">
        <v>15</v>
      </c>
    </row>
    <row r="9" spans="1:13" ht="38.1" customHeight="1" x14ac:dyDescent="0.25">
      <c r="A9" s="34">
        <f ca="1">SUMPRODUCT(COUNTIFS(INDIRECT("'"&amp;Subjects&amp;"'!A4:A1000"),"?*",INDIRECT("'"&amp;Subjects&amp;"'!C4:C1000"),"Amber"))</f>
        <v>1</v>
      </c>
      <c r="B9" s="32"/>
      <c r="C9" s="33">
        <f ca="1">SUMPRODUCT(COUNTIFS(INDIRECT("'"&amp;Subjects&amp;"'!A4:A1000"),"?*",INDIRECT("'"&amp;Subjects&amp;"'!C4:C1000"),"Red"))</f>
        <v>1</v>
      </c>
      <c r="D9" s="32"/>
      <c r="M9" t="s">
        <v>16</v>
      </c>
    </row>
    <row r="10" spans="1:13" x14ac:dyDescent="0.25">
      <c r="M10" t="s">
        <v>17</v>
      </c>
    </row>
    <row r="11" spans="1:13" ht="9.9499999999999993" customHeight="1" x14ac:dyDescent="0.25">
      <c r="M11" t="s">
        <v>18</v>
      </c>
    </row>
    <row r="12" spans="1:13" ht="26.1" customHeight="1" x14ac:dyDescent="0.3">
      <c r="A12" s="28" t="s">
        <v>19</v>
      </c>
      <c r="B12" s="27"/>
      <c r="C12" s="27"/>
      <c r="D12" s="27"/>
      <c r="E12" s="27"/>
      <c r="F12" s="27"/>
      <c r="G12" s="27"/>
      <c r="H12" s="27"/>
    </row>
    <row r="13" spans="1:13" ht="26.1" customHeight="1" x14ac:dyDescent="0.25">
      <c r="A13" s="42" t="s">
        <v>20</v>
      </c>
      <c r="B13" s="7" t="s">
        <v>21</v>
      </c>
      <c r="C13" s="7" t="s">
        <v>7</v>
      </c>
      <c r="D13" s="7" t="s">
        <v>8</v>
      </c>
      <c r="E13" s="7" t="s">
        <v>9</v>
      </c>
      <c r="F13" s="7" t="s">
        <v>22</v>
      </c>
      <c r="G13" s="7" t="s">
        <v>13</v>
      </c>
      <c r="H13" s="7" t="s">
        <v>14</v>
      </c>
    </row>
    <row r="14" spans="1:13" ht="21.95" customHeight="1" x14ac:dyDescent="0.25">
      <c r="A14" s="24" t="s">
        <v>2</v>
      </c>
      <c r="B14" s="3">
        <f ca="1">SUMPRODUCT(COUNTIFS(INDIRECT("'Biology'!A4:A1000"),"?*"))</f>
        <v>23</v>
      </c>
      <c r="C14" s="3">
        <f t="shared" ref="C14:C23" ca="1" si="0">B14-D14-E14</f>
        <v>23</v>
      </c>
      <c r="D14" s="3">
        <f ca="1">SUMPRODUCT(COUNTIFS(INDIRECT("'Biology'!A4:A1000"),"?*",INDIRECT("'Biology'!B4:B1000"),"In Progress"))</f>
        <v>0</v>
      </c>
      <c r="E14" s="3">
        <f ca="1">SUMPRODUCT(COUNTIFS(INDIRECT("'Biology'!A4:A1000"),"?*",INDIRECT("'Biology'!B4:B1000"),"Completed"))</f>
        <v>0</v>
      </c>
      <c r="F14" s="3">
        <f ca="1">SUMPRODUCT(COUNTIFS(INDIRECT("'Biology'!A4:A1000"),"?*",INDIRECT("'Biology'!C4:C1000"),"Green"))</f>
        <v>0</v>
      </c>
      <c r="G14" s="3">
        <f ca="1">SUMPRODUCT(COUNTIFS(INDIRECT("'Biology'!A4:A1000"),"?*",INDIRECT("'Biology'!C4:C1000"),"Amber"))</f>
        <v>0</v>
      </c>
      <c r="H14" s="3">
        <f ca="1">SUMPRODUCT(COUNTIFS(INDIRECT("'Biology'!A4:A1000"),"?*",INDIRECT("'Biology'!C4:C1000"),"Red"))</f>
        <v>0</v>
      </c>
    </row>
    <row r="15" spans="1:13" ht="21.95" customHeight="1" x14ac:dyDescent="0.25">
      <c r="A15" s="25" t="s">
        <v>4</v>
      </c>
      <c r="B15" s="3">
        <f ca="1">SUMPRODUCT(COUNTIFS(INDIRECT("'Chemistry'!A4:A1000"),"?*"))</f>
        <v>9</v>
      </c>
      <c r="C15" s="3">
        <f t="shared" ca="1" si="0"/>
        <v>9</v>
      </c>
      <c r="D15" s="3">
        <f ca="1">SUMPRODUCT(COUNTIFS(INDIRECT("'Chemistry'!A4:A1000"),"?*",INDIRECT("'Chemistry'!B4:B1000"),"In Progress"))</f>
        <v>0</v>
      </c>
      <c r="E15" s="3">
        <f ca="1">SUMPRODUCT(COUNTIFS(INDIRECT("'Chemistry'!A4:A1000"),"?*",INDIRECT("'Chemistry'!B4:B1000"),"Completed"))</f>
        <v>0</v>
      </c>
      <c r="F15" s="3">
        <f ca="1">SUMPRODUCT(COUNTIFS(INDIRECT("'Chemistry'!A4:A1000"),"?*",INDIRECT("'Chemistry'!C4:C1000"),"Green"))</f>
        <v>0</v>
      </c>
      <c r="G15" s="3">
        <f ca="1">SUMPRODUCT(COUNTIFS(INDIRECT("'Chemistry'!A4:A1000"),"?*",INDIRECT("'Chemistry'!C4:C1000"),"Amber"))</f>
        <v>0</v>
      </c>
      <c r="H15" s="3">
        <f ca="1">SUMPRODUCT(COUNTIFS(INDIRECT("'Chemistry'!A4:A1000"),"?*",INDIRECT("'Chemistry'!C4:C1000"),"Red"))</f>
        <v>0</v>
      </c>
    </row>
    <row r="16" spans="1:13" ht="21.95" customHeight="1" x14ac:dyDescent="0.25">
      <c r="A16" s="24" t="s">
        <v>5</v>
      </c>
      <c r="B16" s="3">
        <f ca="1">SUMPRODUCT(COUNTIFS(INDIRECT("'Physics'!A4:A1000"),"?*"))</f>
        <v>11</v>
      </c>
      <c r="C16" s="3">
        <f t="shared" ca="1" si="0"/>
        <v>11</v>
      </c>
      <c r="D16" s="3">
        <f ca="1">SUMPRODUCT(COUNTIFS(INDIRECT("'Physics'!A4:A1000"),"?*",INDIRECT("'Physics'!B4:B1000"),"In Progress"))</f>
        <v>0</v>
      </c>
      <c r="E16" s="3">
        <f ca="1">SUMPRODUCT(COUNTIFS(INDIRECT("'Physics'!A4:A1000"),"?*",INDIRECT("'Physics'!B4:B1000"),"Completed"))</f>
        <v>0</v>
      </c>
      <c r="F16" s="3">
        <f ca="1">SUMPRODUCT(COUNTIFS(INDIRECT("'Physics'!A4:A1000"),"?*",INDIRECT("'Physics'!C4:C1000"),"Green"))</f>
        <v>0</v>
      </c>
      <c r="G16" s="3">
        <f ca="1">SUMPRODUCT(COUNTIFS(INDIRECT("'Physics'!A4:A1000"),"?*",INDIRECT("'Physics'!C4:C1000"),"Amber"))</f>
        <v>0</v>
      </c>
      <c r="H16" s="3">
        <f ca="1">SUMPRODUCT(COUNTIFS(INDIRECT("'Physics'!A4:A1000"),"?*",INDIRECT("'Physics'!C4:C1000"),"Red"))</f>
        <v>0</v>
      </c>
    </row>
    <row r="17" spans="1:8" ht="21.95" customHeight="1" x14ac:dyDescent="0.25">
      <c r="A17" s="25" t="s">
        <v>10</v>
      </c>
      <c r="B17" s="3">
        <f ca="1">SUMPRODUCT(COUNTIFS(INDIRECT("'Mathematics'!A4:A1000"),"?*"))</f>
        <v>1</v>
      </c>
      <c r="C17" s="3">
        <f t="shared" ca="1" si="0"/>
        <v>0</v>
      </c>
      <c r="D17" s="3">
        <f ca="1">SUMPRODUCT(COUNTIFS(INDIRECT("'Mathematics'!A4:A1000"),"?*",INDIRECT("'Mathematics'!B4:B1000"),"In Progress"))</f>
        <v>1</v>
      </c>
      <c r="E17" s="3">
        <f ca="1">SUMPRODUCT(COUNTIFS(INDIRECT("'Mathematics'!A4:A1000"),"?*",INDIRECT("'Mathematics'!B4:B1000"),"Completed"))</f>
        <v>0</v>
      </c>
      <c r="F17" s="3">
        <f ca="1">SUMPRODUCT(COUNTIFS(INDIRECT("'Mathematics'!A4:A1000"),"?*",INDIRECT("'Mathematics'!C4:C1000"),"Green"))</f>
        <v>1</v>
      </c>
      <c r="G17" s="3">
        <f ca="1">SUMPRODUCT(COUNTIFS(INDIRECT("'Mathematics'!A4:A1000"),"?*",INDIRECT("'Mathematics'!C4:C1000"),"Amber"))</f>
        <v>0</v>
      </c>
      <c r="H17" s="3">
        <f ca="1">SUMPRODUCT(COUNTIFS(INDIRECT("'Mathematics'!A4:A1000"),"?*",INDIRECT("'Mathematics'!C4:C1000"),"Red"))</f>
        <v>0</v>
      </c>
    </row>
    <row r="18" spans="1:8" ht="21.95" customHeight="1" x14ac:dyDescent="0.25">
      <c r="A18" s="24" t="s">
        <v>11</v>
      </c>
      <c r="B18" s="3">
        <f ca="1">SUMPRODUCT(COUNTIFS(INDIRECT("'English Language'!A4:A1000"),"?*"))</f>
        <v>11</v>
      </c>
      <c r="C18" s="3">
        <f t="shared" ca="1" si="0"/>
        <v>10</v>
      </c>
      <c r="D18" s="3">
        <f ca="1">SUMPRODUCT(COUNTIFS(INDIRECT("'English Language'!A4:A1000"),"?*",INDIRECT("'English Language'!B4:B1000"),"In Progress"))</f>
        <v>0</v>
      </c>
      <c r="E18" s="3">
        <f ca="1">SUMPRODUCT(COUNTIFS(INDIRECT("'English Language'!A4:A1000"),"?*",INDIRECT("'English Language'!B4:B1000"),"Completed"))</f>
        <v>1</v>
      </c>
      <c r="F18" s="3">
        <f ca="1">SUMPRODUCT(COUNTIFS(INDIRECT("'English Language'!A4:A1000"),"?*",INDIRECT("'English Language'!C4:C1000"),"Green"))</f>
        <v>0</v>
      </c>
      <c r="G18" s="3">
        <f ca="1">SUMPRODUCT(COUNTIFS(INDIRECT("'English Language'!A4:A1000"),"?*",INDIRECT("'English Language'!C4:C1000"),"Amber"))</f>
        <v>0</v>
      </c>
      <c r="H18" s="3">
        <f ca="1">SUMPRODUCT(COUNTIFS(INDIRECT("'English Language'!A4:A1000"),"?*",INDIRECT("'English Language'!C4:C1000"),"Red"))</f>
        <v>1</v>
      </c>
    </row>
    <row r="19" spans="1:8" ht="21.95" customHeight="1" x14ac:dyDescent="0.25">
      <c r="A19" s="25" t="s">
        <v>12</v>
      </c>
      <c r="B19" s="3">
        <f ca="1">SUMPRODUCT(COUNTIFS(INDIRECT("'English Literature'!A4:A1000"),"?*"))</f>
        <v>6</v>
      </c>
      <c r="C19" s="3">
        <f t="shared" ca="1" si="0"/>
        <v>5</v>
      </c>
      <c r="D19" s="3">
        <f ca="1">SUMPRODUCT(COUNTIFS(INDIRECT("'English Literature'!A4:A1000"),"?*",INDIRECT("'English Literature'!B4:B1000"),"In Progress"))</f>
        <v>1</v>
      </c>
      <c r="E19" s="3">
        <f ca="1">SUMPRODUCT(COUNTIFS(INDIRECT("'English Literature'!A4:A1000"),"?*",INDIRECT("'English Literature'!B4:B1000"),"Completed"))</f>
        <v>0</v>
      </c>
      <c r="F19" s="3">
        <f ca="1">SUMPRODUCT(COUNTIFS(INDIRECT("'English Literature'!A4:A1000"),"?*",INDIRECT("'English Literature'!C4:C1000"),"Green"))</f>
        <v>0</v>
      </c>
      <c r="G19" s="3">
        <f ca="1">SUMPRODUCT(COUNTIFS(INDIRECT("'English Literature'!A4:A1000"),"?*",INDIRECT("'English Literature'!C4:C1000"),"Amber"))</f>
        <v>1</v>
      </c>
      <c r="H19" s="3">
        <f ca="1">SUMPRODUCT(COUNTIFS(INDIRECT("'English Literature'!A4:A1000"),"?*",INDIRECT("'English Literature'!C4:C1000"),"Red"))</f>
        <v>0</v>
      </c>
    </row>
    <row r="20" spans="1:8" ht="21.95" customHeight="1" x14ac:dyDescent="0.25">
      <c r="A20" s="24" t="s">
        <v>15</v>
      </c>
      <c r="B20" s="3">
        <f ca="1">SUMPRODUCT(COUNTIFS(INDIRECT("'Geography'!A4:A1000"),"?*"))</f>
        <v>5</v>
      </c>
      <c r="C20" s="3">
        <f t="shared" ca="1" si="0"/>
        <v>4</v>
      </c>
      <c r="D20" s="3">
        <f ca="1">SUMPRODUCT(COUNTIFS(INDIRECT("'Geography'!A4:A1000"),"?*",INDIRECT("'Geography'!B4:B1000"),"In Progress"))</f>
        <v>1</v>
      </c>
      <c r="E20" s="3">
        <f ca="1">SUMPRODUCT(COUNTIFS(INDIRECT("'Geography'!A4:A1000"),"?*",INDIRECT("'Geography'!B4:B1000"),"Completed"))</f>
        <v>0</v>
      </c>
      <c r="F20" s="3">
        <f ca="1">SUMPRODUCT(COUNTIFS(INDIRECT("'Geography'!A4:A1000"),"?*",INDIRECT("'Geography'!C4:C1000"),"Green"))</f>
        <v>1</v>
      </c>
      <c r="G20" s="3">
        <f ca="1">SUMPRODUCT(COUNTIFS(INDIRECT("'Geography'!A4:A1000"),"?*",INDIRECT("'Geography'!C4:C1000"),"Amber"))</f>
        <v>0</v>
      </c>
      <c r="H20" s="3">
        <f ca="1">SUMPRODUCT(COUNTIFS(INDIRECT("'Geography'!A4:A1000"),"?*",INDIRECT("'Geography'!C4:C1000"),"Red"))</f>
        <v>0</v>
      </c>
    </row>
    <row r="21" spans="1:8" ht="21.95" customHeight="1" x14ac:dyDescent="0.25">
      <c r="A21" s="25" t="s">
        <v>16</v>
      </c>
      <c r="B21" s="3">
        <f ca="1">SUMPRODUCT(COUNTIFS(INDIRECT("'History'!A4:A1000"),"?*"))</f>
        <v>3</v>
      </c>
      <c r="C21" s="3">
        <f t="shared" ca="1" si="0"/>
        <v>2</v>
      </c>
      <c r="D21" s="3">
        <f ca="1">SUMPRODUCT(COUNTIFS(INDIRECT("'History'!A4:A1000"),"?*",INDIRECT("'History'!B4:B1000"),"In Progress"))</f>
        <v>1</v>
      </c>
      <c r="E21" s="3">
        <f ca="1">SUMPRODUCT(COUNTIFS(INDIRECT("'History'!A4:A1000"),"?*",INDIRECT("'History'!B4:B1000"),"Completed"))</f>
        <v>0</v>
      </c>
      <c r="F21" s="3">
        <f ca="1">SUMPRODUCT(COUNTIFS(INDIRECT("'History'!A4:A1000"),"?*",INDIRECT("'History'!C4:C1000"),"Green"))</f>
        <v>1</v>
      </c>
      <c r="G21" s="3">
        <f ca="1">SUMPRODUCT(COUNTIFS(INDIRECT("'History'!A4:A1000"),"?*",INDIRECT("'History'!C4:C1000"),"Amber"))</f>
        <v>0</v>
      </c>
      <c r="H21" s="3">
        <f ca="1">SUMPRODUCT(COUNTIFS(INDIRECT("'History'!A4:A1000"),"?*",INDIRECT("'History'!C4:C1000"),"Red"))</f>
        <v>0</v>
      </c>
    </row>
    <row r="22" spans="1:8" ht="21.95" customHeight="1" x14ac:dyDescent="0.25">
      <c r="A22" s="24" t="s">
        <v>17</v>
      </c>
      <c r="B22" s="3">
        <f ca="1">SUMPRODUCT(COUNTIFS(INDIRECT("'Spanish'!A4:A1000"),"?*"))</f>
        <v>4</v>
      </c>
      <c r="C22" s="3">
        <f t="shared" ca="1" si="0"/>
        <v>4</v>
      </c>
      <c r="D22" s="3">
        <f ca="1">SUMPRODUCT(COUNTIFS(INDIRECT("'Spanish'!A4:A1000"),"?*",INDIRECT("'Spanish'!B4:B1000"),"In Progress"))</f>
        <v>0</v>
      </c>
      <c r="E22" s="3">
        <f ca="1">SUMPRODUCT(COUNTIFS(INDIRECT("'Spanish'!A4:A1000"),"?*",INDIRECT("'Spanish'!B4:B1000"),"Completed"))</f>
        <v>0</v>
      </c>
      <c r="F22" s="3">
        <f ca="1">SUMPRODUCT(COUNTIFS(INDIRECT("'Spanish'!A4:A1000"),"?*",INDIRECT("'Spanish'!C4:C1000"),"Green"))</f>
        <v>0</v>
      </c>
      <c r="G22" s="3">
        <f ca="1">SUMPRODUCT(COUNTIFS(INDIRECT("'Spanish'!A4:A1000"),"?*",INDIRECT("'Spanish'!C4:C1000"),"Amber"))</f>
        <v>0</v>
      </c>
      <c r="H22" s="3">
        <f ca="1">SUMPRODUCT(COUNTIFS(INDIRECT("'Spanish'!A4:A1000"),"?*",INDIRECT("'Spanish'!C4:C1000"),"Red"))</f>
        <v>0</v>
      </c>
    </row>
    <row r="23" spans="1:8" ht="21.95" customHeight="1" x14ac:dyDescent="0.25">
      <c r="A23" s="25" t="s">
        <v>18</v>
      </c>
      <c r="B23" s="3">
        <f ca="1">SUMPRODUCT(COUNTIFS(INDIRECT("'Computer Science'!A4:A1000"),"?*"))</f>
        <v>8</v>
      </c>
      <c r="C23" s="3">
        <f t="shared" ca="1" si="0"/>
        <v>7</v>
      </c>
      <c r="D23" s="3">
        <f ca="1">SUMPRODUCT(COUNTIFS(INDIRECT("'Computer Science'!A4:A1000"),"?*",INDIRECT("'Computer Science'!B4:B1000"),"In Progress"))</f>
        <v>1</v>
      </c>
      <c r="E23" s="3">
        <f ca="1">SUMPRODUCT(COUNTIFS(INDIRECT("'Computer Science'!A4:A1000"),"?*",INDIRECT("'Computer Science'!B4:B1000"),"Completed"))</f>
        <v>0</v>
      </c>
      <c r="F23" s="3">
        <f ca="1">SUMPRODUCT(COUNTIFS(INDIRECT("'Computer Science'!A4:A1000"),"?*",INDIRECT("'Computer Science'!C4:C1000"),"Green"))</f>
        <v>1</v>
      </c>
      <c r="G23" s="3">
        <f ca="1">SUMPRODUCT(COUNTIFS(INDIRECT("'Computer Science'!A4:A1000"),"?*",INDIRECT("'Computer Science'!C4:C1000"),"Amber"))</f>
        <v>0</v>
      </c>
      <c r="H23" s="3">
        <f ca="1">SUMPRODUCT(COUNTIFS(INDIRECT("'Computer Science'!A4:A1000"),"?*",INDIRECT("'Computer Science'!C4:C1000"),"Red"))</f>
        <v>0</v>
      </c>
    </row>
    <row r="26" spans="1:8" ht="18.75" customHeight="1" x14ac:dyDescent="0.3">
      <c r="A26" s="28" t="s">
        <v>33</v>
      </c>
      <c r="B26" s="27"/>
      <c r="C26" s="27"/>
      <c r="D26" s="27"/>
      <c r="E26" s="27"/>
      <c r="F26" s="27"/>
      <c r="G26" s="27"/>
      <c r="H26" s="27"/>
    </row>
    <row r="27" spans="1:8" x14ac:dyDescent="0.25">
      <c r="A27" s="30" t="s">
        <v>34</v>
      </c>
      <c r="B27" s="27"/>
      <c r="C27" s="27"/>
      <c r="D27" s="27"/>
      <c r="E27" s="27"/>
      <c r="F27" s="27"/>
      <c r="G27" s="27"/>
      <c r="H27" s="27"/>
    </row>
    <row r="28" spans="1:8" x14ac:dyDescent="0.25">
      <c r="A28" s="30" t="s">
        <v>35</v>
      </c>
      <c r="B28" s="27"/>
      <c r="C28" s="27"/>
      <c r="D28" s="27"/>
      <c r="E28" s="27"/>
      <c r="F28" s="27"/>
      <c r="G28" s="27"/>
      <c r="H28" s="27"/>
    </row>
    <row r="29" spans="1:8" x14ac:dyDescent="0.25">
      <c r="A29" s="30" t="s">
        <v>36</v>
      </c>
      <c r="B29" s="27"/>
      <c r="C29" s="27"/>
      <c r="D29" s="27"/>
      <c r="E29" s="27"/>
      <c r="F29" s="27"/>
      <c r="G29" s="27"/>
      <c r="H29" s="27"/>
    </row>
    <row r="30" spans="1:8" x14ac:dyDescent="0.25">
      <c r="A30" s="30" t="s">
        <v>37</v>
      </c>
      <c r="B30" s="27"/>
      <c r="C30" s="27"/>
      <c r="D30" s="27"/>
      <c r="E30" s="27"/>
      <c r="F30" s="27"/>
      <c r="G30" s="27"/>
      <c r="H30" s="27"/>
    </row>
  </sheetData>
  <mergeCells count="14">
    <mergeCell ref="A12:H12"/>
    <mergeCell ref="A1:K1"/>
    <mergeCell ref="A30:H30"/>
    <mergeCell ref="A26:H26"/>
    <mergeCell ref="A3:F3"/>
    <mergeCell ref="A29:H29"/>
    <mergeCell ref="A28:H28"/>
    <mergeCell ref="G6:H6"/>
    <mergeCell ref="C9:D9"/>
    <mergeCell ref="A9:B9"/>
    <mergeCell ref="A27:H27"/>
    <mergeCell ref="A6:B6"/>
    <mergeCell ref="E6:F6"/>
    <mergeCell ref="C6:D6"/>
  </mergeCells>
  <conditionalFormatting sqref="F14:F23">
    <cfRule type="cellIs" dxfId="62" priority="1" operator="greaterThan">
      <formula>0</formula>
    </cfRule>
  </conditionalFormatting>
  <conditionalFormatting sqref="G14:G23">
    <cfRule type="cellIs" dxfId="61" priority="2" operator="greaterThan">
      <formula>0</formula>
    </cfRule>
  </conditionalFormatting>
  <conditionalFormatting sqref="H14:H23">
    <cfRule type="cellIs" dxfId="60" priority="3" operator="greaterThan">
      <formula>0</formula>
    </cfRule>
  </conditionalFormatting>
  <hyperlinks>
    <hyperlink ref="A14" location="'Biology'!A4" display="Biology" xr:uid="{0349109F-4BAF-4BDF-8B1C-9AE599A8D6EC}"/>
    <hyperlink ref="A15" location="'Chemistry'!A4" display="Chemistry" xr:uid="{E53CEB35-8360-4491-9D51-BE05A96C3677}"/>
    <hyperlink ref="A16" location="'Physics'!A4" display="Physics" xr:uid="{1148B904-6BC4-4105-ACB3-C1CF3AF4E04E}"/>
    <hyperlink ref="A17" location="'Mathematics'!A4" display="Mathematics" xr:uid="{C56B0711-69FE-4938-BC73-EF018A9EAC8C}"/>
    <hyperlink ref="A18" location="'English Language'!A4" display="English Language" xr:uid="{2A21F88B-EF79-4279-89B5-16E8E6BB56D1}"/>
    <hyperlink ref="A19" location="'English Literature'!A4" display="English Literature" xr:uid="{50679304-CA87-4BA0-BE1F-435A2838AFD9}"/>
    <hyperlink ref="A20" location="'Geography'!A4" display="Geography" xr:uid="{088F192C-DCF6-4271-A48F-E7F855795932}"/>
    <hyperlink ref="A21" location="'History'!A4" display="History" xr:uid="{4E898780-31B2-443F-8402-72ED2C3DFD09}"/>
    <hyperlink ref="A22" location="'Spanish'!A4" display="Spanish" xr:uid="{AD1DD75D-86CF-4DA9-B801-23C39D7A095A}"/>
    <hyperlink ref="A23" location="'Computer Science'!A4" display="Computer Science" xr:uid="{3C3204D2-FCC7-4B44-8E31-E949073AD937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"/>
  <sheetViews>
    <sheetView showGridLines="0" zoomScaleNormal="100" workbookViewId="0">
      <pane ySplit="3" topLeftCell="A7" activePane="bottomLeft" state="frozen"/>
      <selection pane="bottomLeft" activeCell="E12" sqref="E12"/>
    </sheetView>
  </sheetViews>
  <sheetFormatPr defaultRowHeight="15" x14ac:dyDescent="0.25"/>
  <cols>
    <col min="1" max="1" width="30.85546875" customWidth="1"/>
    <col min="2" max="2" width="14" customWidth="1"/>
    <col min="3" max="3" width="19" customWidth="1"/>
    <col min="4" max="4" width="19.28515625" style="19" customWidth="1"/>
    <col min="5" max="5" width="38" customWidth="1"/>
  </cols>
  <sheetData>
    <row r="1" spans="1:5" ht="32.1" customHeight="1" x14ac:dyDescent="0.25">
      <c r="A1" s="38" t="s">
        <v>23</v>
      </c>
      <c r="B1" s="27"/>
      <c r="C1" s="27"/>
      <c r="D1" s="27"/>
      <c r="E1" s="27"/>
    </row>
    <row r="2" spans="1:5" ht="18" customHeight="1" x14ac:dyDescent="0.25">
      <c r="A2" s="22" t="s">
        <v>136</v>
      </c>
      <c r="B2" s="1"/>
      <c r="C2" s="1"/>
      <c r="D2" s="17"/>
      <c r="E2" s="1"/>
    </row>
    <row r="3" spans="1:5" ht="26.1" customHeight="1" x14ac:dyDescent="0.25">
      <c r="A3" s="8" t="s">
        <v>38</v>
      </c>
      <c r="B3" s="8" t="s">
        <v>39</v>
      </c>
      <c r="C3" s="8" t="s">
        <v>40</v>
      </c>
      <c r="D3" s="18" t="s">
        <v>41</v>
      </c>
      <c r="E3" s="8" t="s">
        <v>42</v>
      </c>
    </row>
    <row r="4" spans="1:5" ht="87" customHeight="1" x14ac:dyDescent="0.25">
      <c r="A4" s="9" t="s">
        <v>43</v>
      </c>
      <c r="B4" s="10"/>
      <c r="C4" s="10"/>
      <c r="D4" s="11"/>
      <c r="E4" s="9"/>
    </row>
    <row r="5" spans="1:5" ht="33.75" customHeight="1" x14ac:dyDescent="0.25">
      <c r="A5" s="9" t="s">
        <v>44</v>
      </c>
      <c r="B5" s="10"/>
      <c r="C5" s="10"/>
      <c r="D5" s="11"/>
      <c r="E5" s="9"/>
    </row>
    <row r="6" spans="1:5" ht="24" customHeight="1" x14ac:dyDescent="0.25">
      <c r="A6" s="9" t="s">
        <v>45</v>
      </c>
      <c r="B6" s="10"/>
      <c r="C6" s="10"/>
      <c r="D6" s="11"/>
      <c r="E6" s="9"/>
    </row>
    <row r="7" spans="1:5" ht="24" customHeight="1" x14ac:dyDescent="0.25">
      <c r="A7" s="9" t="s">
        <v>46</v>
      </c>
      <c r="B7" s="10"/>
      <c r="C7" s="10"/>
      <c r="D7" s="11"/>
      <c r="E7" s="9"/>
    </row>
    <row r="8" spans="1:5" ht="24" customHeight="1" x14ac:dyDescent="0.25">
      <c r="A8" s="9" t="s">
        <v>47</v>
      </c>
      <c r="B8" s="10"/>
      <c r="C8" s="10"/>
      <c r="D8" s="11"/>
      <c r="E8" s="9"/>
    </row>
    <row r="9" spans="1:5" ht="24" customHeight="1" x14ac:dyDescent="0.25">
      <c r="A9" s="9" t="s">
        <v>48</v>
      </c>
      <c r="B9" s="10"/>
      <c r="C9" s="10"/>
      <c r="D9" s="11"/>
      <c r="E9" s="9"/>
    </row>
    <row r="10" spans="1:5" ht="24" customHeight="1" x14ac:dyDescent="0.25">
      <c r="A10" s="9" t="s">
        <v>49</v>
      </c>
      <c r="B10" s="10"/>
      <c r="C10" s="10"/>
      <c r="D10" s="11"/>
      <c r="E10" s="9"/>
    </row>
    <row r="11" spans="1:5" ht="24" customHeight="1" x14ac:dyDescent="0.25">
      <c r="A11" s="9" t="s">
        <v>50</v>
      </c>
      <c r="B11" s="10"/>
      <c r="C11" s="10"/>
      <c r="D11" s="11"/>
      <c r="E11" s="9"/>
    </row>
    <row r="12" spans="1:5" ht="45.75" customHeight="1" x14ac:dyDescent="0.25">
      <c r="A12" s="9" t="s">
        <v>51</v>
      </c>
      <c r="B12" s="10"/>
      <c r="C12" s="10"/>
      <c r="D12" s="11"/>
      <c r="E12" s="9"/>
    </row>
    <row r="13" spans="1:5" ht="24" customHeight="1" x14ac:dyDescent="0.25">
      <c r="A13" s="9" t="s">
        <v>52</v>
      </c>
      <c r="B13" s="10"/>
      <c r="C13" s="10"/>
      <c r="D13" s="11"/>
      <c r="E13" s="9"/>
    </row>
    <row r="14" spans="1:5" ht="24" customHeight="1" x14ac:dyDescent="0.25">
      <c r="A14" s="9" t="s">
        <v>53</v>
      </c>
      <c r="B14" s="10"/>
      <c r="C14" s="10"/>
      <c r="D14" s="11"/>
      <c r="E14" s="9"/>
    </row>
    <row r="15" spans="1:5" ht="24" customHeight="1" x14ac:dyDescent="0.25">
      <c r="A15" s="9" t="s">
        <v>54</v>
      </c>
      <c r="B15" s="10"/>
      <c r="C15" s="10"/>
      <c r="D15" s="11"/>
      <c r="E15" s="9"/>
    </row>
    <row r="16" spans="1:5" ht="24" customHeight="1" x14ac:dyDescent="0.25">
      <c r="A16" s="9" t="s">
        <v>55</v>
      </c>
      <c r="B16" s="10"/>
      <c r="C16" s="10"/>
      <c r="D16" s="11"/>
      <c r="E16" s="9"/>
    </row>
    <row r="17" spans="1:5" ht="24" customHeight="1" x14ac:dyDescent="0.25">
      <c r="A17" s="9" t="s">
        <v>56</v>
      </c>
      <c r="B17" s="10"/>
      <c r="C17" s="10"/>
      <c r="D17" s="11"/>
      <c r="E17" s="9"/>
    </row>
    <row r="18" spans="1:5" ht="24" customHeight="1" x14ac:dyDescent="0.25">
      <c r="A18" s="9" t="s">
        <v>57</v>
      </c>
      <c r="B18" s="10"/>
      <c r="C18" s="10"/>
      <c r="D18" s="11"/>
      <c r="E18" s="9"/>
    </row>
    <row r="19" spans="1:5" ht="24" customHeight="1" x14ac:dyDescent="0.25">
      <c r="A19" s="2" t="s">
        <v>58</v>
      </c>
      <c r="B19" s="3"/>
      <c r="C19" s="3"/>
      <c r="D19" s="4"/>
      <c r="E19" s="2"/>
    </row>
    <row r="20" spans="1:5" ht="24" customHeight="1" x14ac:dyDescent="0.25">
      <c r="A20" s="2" t="s">
        <v>59</v>
      </c>
      <c r="B20" s="3"/>
      <c r="C20" s="3"/>
      <c r="D20" s="4"/>
      <c r="E20" s="2"/>
    </row>
    <row r="21" spans="1:5" ht="24" customHeight="1" x14ac:dyDescent="0.25">
      <c r="A21" s="2" t="s">
        <v>60</v>
      </c>
      <c r="B21" s="3"/>
      <c r="C21" s="3"/>
      <c r="D21" s="4"/>
      <c r="E21" s="2"/>
    </row>
    <row r="22" spans="1:5" ht="24" customHeight="1" x14ac:dyDescent="0.25">
      <c r="A22" s="2" t="s">
        <v>61</v>
      </c>
      <c r="B22" s="3"/>
      <c r="C22" s="3"/>
      <c r="D22" s="4"/>
      <c r="E22" s="2"/>
    </row>
    <row r="23" spans="1:5" ht="24" customHeight="1" x14ac:dyDescent="0.25">
      <c r="A23" s="2" t="s">
        <v>62</v>
      </c>
      <c r="B23" s="3"/>
      <c r="C23" s="3"/>
      <c r="D23" s="4"/>
      <c r="E23" s="2"/>
    </row>
    <row r="24" spans="1:5" ht="24" customHeight="1" x14ac:dyDescent="0.25">
      <c r="A24" s="2" t="s">
        <v>63</v>
      </c>
      <c r="B24" s="3"/>
      <c r="C24" s="3"/>
      <c r="D24" s="4"/>
      <c r="E24" s="2"/>
    </row>
    <row r="25" spans="1:5" ht="24" customHeight="1" x14ac:dyDescent="0.25">
      <c r="A25" s="2" t="s">
        <v>64</v>
      </c>
      <c r="B25" s="3"/>
      <c r="C25" s="3"/>
      <c r="D25" s="4"/>
      <c r="E25" s="2"/>
    </row>
    <row r="26" spans="1:5" ht="24" customHeight="1" x14ac:dyDescent="0.25">
      <c r="A26" s="2" t="s">
        <v>65</v>
      </c>
      <c r="B26" s="3"/>
      <c r="C26" s="3"/>
      <c r="D26" s="4"/>
      <c r="E26" s="2"/>
    </row>
    <row r="27" spans="1:5" ht="24" customHeight="1" x14ac:dyDescent="0.25">
      <c r="A27" s="2"/>
      <c r="B27" s="3"/>
      <c r="C27" s="3"/>
      <c r="D27" s="4"/>
      <c r="E27" s="2"/>
    </row>
  </sheetData>
  <mergeCells count="1">
    <mergeCell ref="A1:E1"/>
  </mergeCells>
  <conditionalFormatting sqref="B4:B18">
    <cfRule type="cellIs" dxfId="59" priority="5" operator="equal">
      <formula>"Not Started"</formula>
    </cfRule>
    <cfRule type="cellIs" dxfId="58" priority="6" operator="equal">
      <formula>"In Progress"</formula>
    </cfRule>
    <cfRule type="cellIs" dxfId="57" priority="7" operator="equal">
      <formula>"Completed"</formula>
    </cfRule>
  </conditionalFormatting>
  <conditionalFormatting sqref="C4:C18">
    <cfRule type="cellIs" dxfId="56" priority="1" operator="equal">
      <formula>"Green"</formula>
    </cfRule>
    <cfRule type="cellIs" dxfId="55" priority="2" operator="equal">
      <formula>"Amber"</formula>
    </cfRule>
    <cfRule type="cellIs" dxfId="54" priority="3" operator="equal">
      <formula>"Red"</formula>
    </cfRule>
  </conditionalFormatting>
  <dataValidations count="3">
    <dataValidation type="list" allowBlank="1" sqref="B4:B18" xr:uid="{00000000-0002-0000-0100-000000000000}">
      <formula1>"Not Started,In Progress,Completed"</formula1>
    </dataValidation>
    <dataValidation type="list" allowBlank="1" sqref="E4:E18" xr:uid="{00000000-0002-0000-01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52DDAFB8-BF9B-4F5D-A8ED-9DC855F98BAD}">
      <formula1>"Green,Amber,Red"</formula1>
    </dataValidation>
  </dataValidations>
  <hyperlinks>
    <hyperlink ref="A2" location="'Dashboard'!A1" display="&lt; Return to Dashboard" xr:uid="{8A03291B-F8D4-418A-93F5-59B218A2B237}"/>
  </hyperlink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8"/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36" customWidth="1"/>
    <col min="2" max="3" width="14" customWidth="1"/>
    <col min="4" max="4" width="15" style="19" customWidth="1"/>
    <col min="5" max="5" width="38" customWidth="1"/>
  </cols>
  <sheetData>
    <row r="1" spans="1:5" ht="32.1" customHeight="1" x14ac:dyDescent="0.25">
      <c r="A1" s="26" t="s">
        <v>24</v>
      </c>
      <c r="B1" s="27"/>
      <c r="C1" s="27"/>
      <c r="D1" s="27"/>
      <c r="E1" s="27"/>
    </row>
    <row r="2" spans="1:5" ht="18" customHeight="1" x14ac:dyDescent="0.25">
      <c r="A2" s="23" t="s">
        <v>136</v>
      </c>
    </row>
    <row r="3" spans="1:5" ht="26.1" customHeight="1" x14ac:dyDescent="0.25">
      <c r="A3" s="7" t="s">
        <v>38</v>
      </c>
      <c r="B3" s="7" t="s">
        <v>39</v>
      </c>
      <c r="C3" s="7" t="s">
        <v>40</v>
      </c>
      <c r="D3" s="20" t="s">
        <v>41</v>
      </c>
      <c r="E3" s="7" t="s">
        <v>42</v>
      </c>
    </row>
    <row r="4" spans="1:5" ht="24" customHeight="1" x14ac:dyDescent="0.25">
      <c r="A4" s="2" t="s">
        <v>66</v>
      </c>
      <c r="B4" s="3"/>
      <c r="C4" s="3"/>
      <c r="D4" s="4"/>
      <c r="E4" s="2"/>
    </row>
    <row r="5" spans="1:5" ht="24" customHeight="1" x14ac:dyDescent="0.25">
      <c r="A5" s="2" t="s">
        <v>67</v>
      </c>
      <c r="B5" s="3"/>
      <c r="C5" s="3"/>
      <c r="D5" s="4"/>
      <c r="E5" s="2"/>
    </row>
    <row r="6" spans="1:5" ht="24" customHeight="1" x14ac:dyDescent="0.25">
      <c r="A6" s="2" t="s">
        <v>68</v>
      </c>
      <c r="B6" s="3"/>
      <c r="C6" s="3"/>
      <c r="D6" s="4"/>
      <c r="E6" s="2"/>
    </row>
    <row r="7" spans="1:5" ht="24" customHeight="1" x14ac:dyDescent="0.25">
      <c r="A7" s="2" t="s">
        <v>69</v>
      </c>
      <c r="B7" s="3"/>
      <c r="C7" s="3"/>
      <c r="D7" s="4"/>
      <c r="E7" s="2"/>
    </row>
    <row r="8" spans="1:5" ht="24" customHeight="1" x14ac:dyDescent="0.25">
      <c r="A8" s="2" t="s">
        <v>70</v>
      </c>
      <c r="B8" s="3"/>
      <c r="C8" s="3"/>
      <c r="D8" s="4"/>
      <c r="E8" s="2"/>
    </row>
    <row r="9" spans="1:5" ht="24" customHeight="1" x14ac:dyDescent="0.25">
      <c r="A9" s="2" t="s">
        <v>71</v>
      </c>
      <c r="B9" s="3"/>
      <c r="C9" s="3"/>
      <c r="D9" s="4"/>
      <c r="E9" s="2"/>
    </row>
    <row r="10" spans="1:5" ht="24" customHeight="1" x14ac:dyDescent="0.25">
      <c r="A10" s="2" t="s">
        <v>72</v>
      </c>
      <c r="B10" s="3"/>
      <c r="C10" s="3"/>
      <c r="D10" s="4"/>
      <c r="E10" s="2"/>
    </row>
    <row r="11" spans="1:5" ht="24" customHeight="1" x14ac:dyDescent="0.25">
      <c r="A11" s="2" t="s">
        <v>73</v>
      </c>
      <c r="B11" s="3"/>
      <c r="C11" s="3"/>
      <c r="D11" s="4"/>
      <c r="E11" s="2"/>
    </row>
    <row r="12" spans="1:5" ht="24" customHeight="1" x14ac:dyDescent="0.25">
      <c r="A12" s="2" t="s">
        <v>74</v>
      </c>
      <c r="B12" s="3"/>
      <c r="C12" s="3"/>
      <c r="D12" s="4"/>
      <c r="E12" s="2"/>
    </row>
    <row r="13" spans="1:5" ht="24" customHeight="1" x14ac:dyDescent="0.25">
      <c r="A13" s="2"/>
      <c r="B13" s="3"/>
      <c r="C13" s="3"/>
      <c r="D13" s="4"/>
      <c r="E13" s="2"/>
    </row>
    <row r="14" spans="1:5" ht="24" customHeight="1" x14ac:dyDescent="0.25">
      <c r="A14" s="2"/>
      <c r="B14" s="3"/>
      <c r="C14" s="3"/>
      <c r="D14" s="4"/>
      <c r="E14" s="2"/>
    </row>
    <row r="15" spans="1:5" ht="24" customHeight="1" x14ac:dyDescent="0.25">
      <c r="A15" s="2"/>
      <c r="B15" s="3"/>
      <c r="C15" s="3"/>
      <c r="D15" s="4"/>
      <c r="E15" s="2"/>
    </row>
    <row r="16" spans="1:5" ht="24" customHeight="1" x14ac:dyDescent="0.25">
      <c r="A16" s="2"/>
      <c r="B16" s="3"/>
      <c r="C16" s="3"/>
      <c r="D16" s="4"/>
      <c r="E16" s="2"/>
    </row>
    <row r="17" spans="1:5" ht="24" customHeight="1" x14ac:dyDescent="0.25">
      <c r="A17" s="2"/>
      <c r="B17" s="3"/>
      <c r="C17" s="3"/>
      <c r="D17" s="4"/>
      <c r="E17" s="2"/>
    </row>
    <row r="18" spans="1:5" ht="24" customHeight="1" x14ac:dyDescent="0.25">
      <c r="A18" s="2"/>
      <c r="B18" s="3"/>
      <c r="C18" s="3"/>
      <c r="D18" s="4"/>
      <c r="E18" s="2"/>
    </row>
  </sheetData>
  <mergeCells count="1">
    <mergeCell ref="A1:E1"/>
  </mergeCells>
  <conditionalFormatting sqref="B4:B18">
    <cfRule type="cellIs" dxfId="53" priority="5" operator="equal">
      <formula>"Not Started"</formula>
    </cfRule>
    <cfRule type="cellIs" dxfId="52" priority="6" operator="equal">
      <formula>"In Progress"</formula>
    </cfRule>
    <cfRule type="cellIs" dxfId="51" priority="7" operator="equal">
      <formula>"Completed"</formula>
    </cfRule>
  </conditionalFormatting>
  <conditionalFormatting sqref="C4:C18">
    <cfRule type="cellIs" dxfId="50" priority="1" operator="equal">
      <formula>"Green"</formula>
    </cfRule>
    <cfRule type="cellIs" dxfId="49" priority="2" operator="equal">
      <formula>"Amber"</formula>
    </cfRule>
    <cfRule type="cellIs" dxfId="48" priority="3" operator="equal">
      <formula>"Red"</formula>
    </cfRule>
  </conditionalFormatting>
  <dataValidations count="3">
    <dataValidation type="list" allowBlank="1" sqref="B4:B18" xr:uid="{00000000-0002-0000-0200-000000000000}">
      <formula1>"Not Started,In Progress,Completed"</formula1>
    </dataValidation>
    <dataValidation type="list" allowBlank="1" sqref="E4:E18" xr:uid="{00000000-0002-0000-02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0E06F1AA-5F0C-45A1-A46C-CC888BD2EA15}">
      <formula1>"Green,Amber,Red"</formula1>
    </dataValidation>
  </dataValidations>
  <hyperlinks>
    <hyperlink ref="A2" location="'Dashboard'!A1" display="&lt; Return to Dashboard" xr:uid="{A1561012-92F3-4FD4-A7F0-0E0081A70D27}"/>
  </hyperlink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"/>
  <sheetViews>
    <sheetView showGridLines="0" workbookViewId="0">
      <pane ySplit="3" topLeftCell="A4" activePane="bottomLeft" state="frozen"/>
      <selection pane="bottomLeft" activeCell="A2" sqref="A2"/>
    </sheetView>
  </sheetViews>
  <sheetFormatPr defaultRowHeight="15" x14ac:dyDescent="0.25"/>
  <cols>
    <col min="1" max="1" width="36" customWidth="1"/>
    <col min="2" max="3" width="14" customWidth="1"/>
    <col min="4" max="4" width="21.140625" style="19" customWidth="1"/>
    <col min="5" max="5" width="38" customWidth="1"/>
  </cols>
  <sheetData>
    <row r="1" spans="1:5" ht="32.1" customHeight="1" x14ac:dyDescent="0.25">
      <c r="A1" s="26" t="s">
        <v>25</v>
      </c>
      <c r="B1" s="27"/>
      <c r="C1" s="27"/>
      <c r="D1" s="27"/>
      <c r="E1" s="27"/>
    </row>
    <row r="2" spans="1:5" ht="18" customHeight="1" x14ac:dyDescent="0.25">
      <c r="A2" s="23" t="s">
        <v>136</v>
      </c>
    </row>
    <row r="3" spans="1:5" ht="26.1" customHeight="1" x14ac:dyDescent="0.25">
      <c r="A3" s="7" t="s">
        <v>38</v>
      </c>
      <c r="B3" s="7" t="s">
        <v>39</v>
      </c>
      <c r="C3" s="7" t="s">
        <v>40</v>
      </c>
      <c r="D3" s="20" t="s">
        <v>41</v>
      </c>
      <c r="E3" s="7" t="s">
        <v>42</v>
      </c>
    </row>
    <row r="4" spans="1:5" ht="44.25" customHeight="1" x14ac:dyDescent="0.25">
      <c r="A4" s="9" t="s">
        <v>75</v>
      </c>
      <c r="B4" s="10"/>
      <c r="C4" s="10"/>
      <c r="D4" s="11"/>
      <c r="E4" s="9"/>
    </row>
    <row r="5" spans="1:5" ht="50.25" customHeight="1" x14ac:dyDescent="0.25">
      <c r="A5" s="9" t="s">
        <v>76</v>
      </c>
      <c r="B5" s="10"/>
      <c r="C5" s="10"/>
      <c r="D5" s="11"/>
      <c r="E5" s="9"/>
    </row>
    <row r="6" spans="1:5" ht="36.75" customHeight="1" x14ac:dyDescent="0.3">
      <c r="A6" s="5" t="s">
        <v>77</v>
      </c>
      <c r="B6" s="10"/>
      <c r="C6" s="10"/>
      <c r="D6" s="11"/>
      <c r="E6" s="9"/>
    </row>
    <row r="7" spans="1:5" ht="37.5" customHeight="1" x14ac:dyDescent="0.25">
      <c r="A7" s="9" t="s">
        <v>78</v>
      </c>
      <c r="B7" s="10"/>
      <c r="C7" s="10"/>
      <c r="D7" s="11"/>
      <c r="E7" s="9"/>
    </row>
    <row r="8" spans="1:5" ht="30" customHeight="1" x14ac:dyDescent="0.25">
      <c r="A8" s="9" t="s">
        <v>79</v>
      </c>
      <c r="B8" s="10"/>
      <c r="C8" s="10"/>
      <c r="D8" s="11"/>
      <c r="E8" s="9"/>
    </row>
    <row r="9" spans="1:5" ht="37.5" customHeight="1" x14ac:dyDescent="0.25">
      <c r="A9" s="9" t="s">
        <v>80</v>
      </c>
      <c r="B9" s="10"/>
      <c r="C9" s="10"/>
      <c r="D9" s="11"/>
      <c r="E9" s="9"/>
    </row>
    <row r="10" spans="1:5" ht="52.5" customHeight="1" x14ac:dyDescent="0.25">
      <c r="A10" s="9" t="s">
        <v>81</v>
      </c>
      <c r="B10" s="10"/>
      <c r="C10" s="10"/>
      <c r="D10" s="11"/>
      <c r="E10" s="9"/>
    </row>
    <row r="11" spans="1:5" ht="35.25" customHeight="1" x14ac:dyDescent="0.25">
      <c r="A11" s="9" t="s">
        <v>82</v>
      </c>
      <c r="B11" s="10"/>
      <c r="C11" s="10"/>
      <c r="D11" s="11"/>
      <c r="E11" s="9"/>
    </row>
    <row r="12" spans="1:5" ht="38.25" customHeight="1" x14ac:dyDescent="0.25">
      <c r="A12" s="9" t="s">
        <v>83</v>
      </c>
      <c r="B12" s="10"/>
      <c r="C12" s="10"/>
      <c r="D12" s="11"/>
      <c r="E12" s="9"/>
    </row>
    <row r="13" spans="1:5" ht="30.75" customHeight="1" x14ac:dyDescent="0.25">
      <c r="A13" s="9" t="s">
        <v>84</v>
      </c>
      <c r="B13" s="10"/>
      <c r="C13" s="10"/>
      <c r="D13" s="11"/>
      <c r="E13" s="9"/>
    </row>
    <row r="14" spans="1:5" ht="33.75" customHeight="1" x14ac:dyDescent="0.25">
      <c r="A14" s="9" t="s">
        <v>85</v>
      </c>
      <c r="B14" s="10"/>
      <c r="C14" s="10"/>
      <c r="D14" s="11"/>
      <c r="E14" s="9"/>
    </row>
    <row r="15" spans="1:5" ht="24" customHeight="1" x14ac:dyDescent="0.25">
      <c r="A15" s="9"/>
      <c r="B15" s="10"/>
      <c r="C15" s="10"/>
      <c r="D15" s="11"/>
      <c r="E15" s="9"/>
    </row>
    <row r="16" spans="1:5" ht="24" customHeight="1" x14ac:dyDescent="0.25">
      <c r="A16" s="9"/>
      <c r="B16" s="10"/>
      <c r="C16" s="10"/>
      <c r="D16" s="11"/>
      <c r="E16" s="9"/>
    </row>
    <row r="17" spans="1:5" ht="24" customHeight="1" x14ac:dyDescent="0.25">
      <c r="A17" s="9"/>
      <c r="B17" s="10"/>
      <c r="C17" s="10"/>
      <c r="D17" s="11"/>
      <c r="E17" s="9"/>
    </row>
    <row r="18" spans="1:5" ht="24" customHeight="1" x14ac:dyDescent="0.25">
      <c r="A18" s="9"/>
      <c r="B18" s="10"/>
      <c r="C18" s="10"/>
      <c r="D18" s="11"/>
      <c r="E18" s="9"/>
    </row>
  </sheetData>
  <mergeCells count="1">
    <mergeCell ref="A1:E1"/>
  </mergeCells>
  <conditionalFormatting sqref="B4:B18">
    <cfRule type="cellIs" dxfId="47" priority="5" operator="equal">
      <formula>"Not Started"</formula>
    </cfRule>
    <cfRule type="cellIs" dxfId="46" priority="6" operator="equal">
      <formula>"In Progress"</formula>
    </cfRule>
    <cfRule type="cellIs" dxfId="45" priority="7" operator="equal">
      <formula>"Completed"</formula>
    </cfRule>
  </conditionalFormatting>
  <conditionalFormatting sqref="C4:C18">
    <cfRule type="cellIs" dxfId="44" priority="1" operator="equal">
      <formula>"Green"</formula>
    </cfRule>
    <cfRule type="cellIs" dxfId="43" priority="2" operator="equal">
      <formula>"Amber"</formula>
    </cfRule>
    <cfRule type="cellIs" dxfId="42" priority="3" operator="equal">
      <formula>"Red"</formula>
    </cfRule>
  </conditionalFormatting>
  <dataValidations count="3">
    <dataValidation type="list" allowBlank="1" sqref="B4:B18" xr:uid="{00000000-0002-0000-0300-000000000000}">
      <formula1>"Not Started,In Progress,Completed"</formula1>
    </dataValidation>
    <dataValidation type="list" allowBlank="1" sqref="E4:E18" xr:uid="{00000000-0002-0000-03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D4180FD0-0835-4EF4-822A-BC58AA955CD9}">
      <formula1>"Green,Amber,Red"</formula1>
    </dataValidation>
  </dataValidations>
  <hyperlinks>
    <hyperlink ref="A2" location="'Dashboard'!A1" display="&lt; Return to Dashboard" xr:uid="{819B6490-FF39-422C-83F2-9F2DE21C0B40}"/>
  </hyperlink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8"/>
  <sheetViews>
    <sheetView showGridLines="0" workbookViewId="0">
      <pane ySplit="3" topLeftCell="A4" activePane="bottomLeft" state="frozen"/>
      <selection pane="bottomLeft" activeCell="I6" sqref="I6"/>
    </sheetView>
  </sheetViews>
  <sheetFormatPr defaultRowHeight="15" x14ac:dyDescent="0.25"/>
  <cols>
    <col min="1" max="1" width="36" customWidth="1"/>
    <col min="2" max="2" width="18.5703125" customWidth="1"/>
    <col min="3" max="3" width="16" customWidth="1"/>
    <col min="4" max="4" width="20" style="19" customWidth="1"/>
    <col min="5" max="5" width="38" customWidth="1"/>
  </cols>
  <sheetData>
    <row r="1" spans="1:5" ht="32.1" customHeight="1" x14ac:dyDescent="0.25">
      <c r="A1" s="26" t="s">
        <v>26</v>
      </c>
      <c r="B1" s="27"/>
      <c r="C1" s="27"/>
      <c r="D1" s="27"/>
      <c r="E1" s="27"/>
    </row>
    <row r="2" spans="1:5" ht="18" customHeight="1" x14ac:dyDescent="0.25">
      <c r="A2" s="23" t="s">
        <v>136</v>
      </c>
    </row>
    <row r="3" spans="1:5" ht="26.1" customHeight="1" x14ac:dyDescent="0.25">
      <c r="A3" s="8" t="s">
        <v>38</v>
      </c>
      <c r="B3" s="8" t="s">
        <v>39</v>
      </c>
      <c r="C3" s="8" t="s">
        <v>40</v>
      </c>
      <c r="D3" s="18" t="s">
        <v>41</v>
      </c>
      <c r="E3" s="8" t="s">
        <v>42</v>
      </c>
    </row>
    <row r="4" spans="1:5" ht="66" customHeight="1" x14ac:dyDescent="0.25">
      <c r="A4" s="9" t="s">
        <v>86</v>
      </c>
      <c r="B4" s="10" t="s">
        <v>8</v>
      </c>
      <c r="C4" s="10" t="s">
        <v>22</v>
      </c>
      <c r="D4" s="11">
        <v>46312</v>
      </c>
      <c r="E4" s="9" t="s">
        <v>87</v>
      </c>
    </row>
    <row r="5" spans="1:5" ht="24" customHeight="1" x14ac:dyDescent="0.25">
      <c r="A5" s="9"/>
      <c r="B5" s="10"/>
      <c r="C5" s="10"/>
      <c r="D5" s="11"/>
      <c r="E5" s="9"/>
    </row>
    <row r="6" spans="1:5" ht="24" customHeight="1" x14ac:dyDescent="0.25">
      <c r="A6" s="9"/>
      <c r="B6" s="10"/>
      <c r="C6" s="10"/>
      <c r="D6" s="11"/>
      <c r="E6" s="9"/>
    </row>
    <row r="7" spans="1:5" ht="24" customHeight="1" x14ac:dyDescent="0.25">
      <c r="A7" s="9"/>
      <c r="B7" s="10"/>
      <c r="C7" s="10"/>
      <c r="D7" s="11"/>
      <c r="E7" s="9"/>
    </row>
    <row r="8" spans="1:5" ht="24" customHeight="1" x14ac:dyDescent="0.25">
      <c r="A8" s="9"/>
      <c r="B8" s="10"/>
      <c r="C8" s="10"/>
      <c r="D8" s="11"/>
      <c r="E8" s="9"/>
    </row>
    <row r="9" spans="1:5" ht="24" customHeight="1" x14ac:dyDescent="0.25">
      <c r="A9" s="9"/>
      <c r="B9" s="10"/>
      <c r="C9" s="10"/>
      <c r="D9" s="11"/>
      <c r="E9" s="9"/>
    </row>
    <row r="10" spans="1:5" ht="24" customHeight="1" x14ac:dyDescent="0.25">
      <c r="A10" s="9"/>
      <c r="B10" s="10"/>
      <c r="C10" s="10"/>
      <c r="D10" s="11"/>
      <c r="E10" s="9"/>
    </row>
    <row r="11" spans="1:5" ht="24" customHeight="1" x14ac:dyDescent="0.25">
      <c r="A11" s="9"/>
      <c r="B11" s="10"/>
      <c r="C11" s="10"/>
      <c r="D11" s="11"/>
      <c r="E11" s="9"/>
    </row>
    <row r="12" spans="1:5" ht="24" customHeight="1" x14ac:dyDescent="0.25">
      <c r="A12" s="9"/>
      <c r="B12" s="10"/>
      <c r="C12" s="10"/>
      <c r="D12" s="11"/>
      <c r="E12" s="9"/>
    </row>
    <row r="13" spans="1:5" ht="24" customHeight="1" x14ac:dyDescent="0.25">
      <c r="A13" s="9"/>
      <c r="B13" s="10"/>
      <c r="C13" s="10"/>
      <c r="D13" s="11"/>
      <c r="E13" s="9"/>
    </row>
    <row r="14" spans="1:5" ht="24" customHeight="1" x14ac:dyDescent="0.25">
      <c r="A14" s="9"/>
      <c r="B14" s="10"/>
      <c r="C14" s="10"/>
      <c r="D14" s="11"/>
      <c r="E14" s="9"/>
    </row>
    <row r="15" spans="1:5" ht="24" customHeight="1" x14ac:dyDescent="0.25">
      <c r="A15" s="9"/>
      <c r="B15" s="10"/>
      <c r="C15" s="10"/>
      <c r="D15" s="11"/>
      <c r="E15" s="9"/>
    </row>
    <row r="16" spans="1:5" ht="24" customHeight="1" x14ac:dyDescent="0.25">
      <c r="A16" s="9"/>
      <c r="B16" s="10"/>
      <c r="C16" s="10"/>
      <c r="D16" s="11"/>
      <c r="E16" s="9"/>
    </row>
    <row r="17" spans="1:5" ht="24" customHeight="1" x14ac:dyDescent="0.25">
      <c r="A17" s="9"/>
      <c r="B17" s="10"/>
      <c r="C17" s="10"/>
      <c r="D17" s="11"/>
      <c r="E17" s="9"/>
    </row>
    <row r="18" spans="1:5" ht="24" customHeight="1" x14ac:dyDescent="0.25">
      <c r="A18" s="9"/>
      <c r="B18" s="10"/>
      <c r="C18" s="10"/>
      <c r="D18" s="11"/>
      <c r="E18" s="9"/>
    </row>
  </sheetData>
  <mergeCells count="1">
    <mergeCell ref="A1:E1"/>
  </mergeCells>
  <conditionalFormatting sqref="B4:B18">
    <cfRule type="cellIs" dxfId="41" priority="5" operator="equal">
      <formula>"Not Started"</formula>
    </cfRule>
    <cfRule type="cellIs" dxfId="40" priority="6" operator="equal">
      <formula>"In Progress"</formula>
    </cfRule>
    <cfRule type="cellIs" dxfId="39" priority="7" operator="equal">
      <formula>"Completed"</formula>
    </cfRule>
  </conditionalFormatting>
  <conditionalFormatting sqref="C4:C18">
    <cfRule type="cellIs" dxfId="38" priority="1" operator="equal">
      <formula>"Green"</formula>
    </cfRule>
    <cfRule type="cellIs" dxfId="37" priority="2" operator="equal">
      <formula>"Amber"</formula>
    </cfRule>
    <cfRule type="cellIs" dxfId="36" priority="3" operator="equal">
      <formula>"Red"</formula>
    </cfRule>
  </conditionalFormatting>
  <dataValidations count="3">
    <dataValidation type="list" allowBlank="1" sqref="B4:B18" xr:uid="{00000000-0002-0000-0400-000000000000}">
      <formula1>"Not Started,In Progress,Completed"</formula1>
    </dataValidation>
    <dataValidation type="list" allowBlank="1" sqref="E4:E18" xr:uid="{00000000-0002-0000-04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F94959DB-CE01-4A63-8621-6147A58A4425}">
      <formula1>"Green,Amber,Red"</formula1>
    </dataValidation>
  </dataValidations>
  <hyperlinks>
    <hyperlink ref="A2" location="'Dashboard'!A1" display="&lt; Return to Dashboard" xr:uid="{9AF9D96A-6B58-4489-A94A-6B01ED730B91}"/>
  </hyperlink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8"/>
  <sheetViews>
    <sheetView showGridLines="0" zoomScale="85" zoomScaleNormal="85" workbookViewId="0">
      <pane ySplit="3" topLeftCell="A4" activePane="bottomLeft" state="frozen"/>
      <selection pane="bottomLeft" activeCell="D6" sqref="D6"/>
    </sheetView>
  </sheetViews>
  <sheetFormatPr defaultRowHeight="15" x14ac:dyDescent="0.25"/>
  <cols>
    <col min="1" max="1" width="36" customWidth="1"/>
    <col min="2" max="2" width="21.5703125" customWidth="1"/>
    <col min="3" max="3" width="17.42578125" customWidth="1"/>
    <col min="4" max="4" width="21" style="19" customWidth="1"/>
    <col min="5" max="5" width="38" customWidth="1"/>
  </cols>
  <sheetData>
    <row r="1" spans="1:5" ht="32.1" customHeight="1" x14ac:dyDescent="0.25">
      <c r="A1" s="39" t="s">
        <v>27</v>
      </c>
      <c r="B1" s="27"/>
      <c r="C1" s="27"/>
      <c r="D1" s="27"/>
      <c r="E1" s="27"/>
    </row>
    <row r="2" spans="1:5" ht="18" customHeight="1" x14ac:dyDescent="0.25">
      <c r="A2" s="23" t="s">
        <v>136</v>
      </c>
    </row>
    <row r="3" spans="1:5" ht="26.1" customHeight="1" x14ac:dyDescent="0.25">
      <c r="A3" s="7" t="s">
        <v>38</v>
      </c>
      <c r="B3" s="7" t="s">
        <v>39</v>
      </c>
      <c r="C3" s="7" t="s">
        <v>40</v>
      </c>
      <c r="D3" s="20" t="s">
        <v>41</v>
      </c>
      <c r="E3" s="7" t="s">
        <v>42</v>
      </c>
    </row>
    <row r="4" spans="1:5" ht="30" x14ac:dyDescent="0.25">
      <c r="A4" s="9" t="s">
        <v>88</v>
      </c>
      <c r="B4" s="10"/>
      <c r="C4" s="10"/>
      <c r="D4" s="11"/>
      <c r="E4" s="9"/>
    </row>
    <row r="5" spans="1:5" ht="57.75" customHeight="1" x14ac:dyDescent="0.25">
      <c r="A5" s="9" t="s">
        <v>89</v>
      </c>
      <c r="B5" s="10"/>
      <c r="C5" s="10"/>
      <c r="D5" s="11"/>
      <c r="E5" s="9"/>
    </row>
    <row r="6" spans="1:5" ht="119.25" customHeight="1" x14ac:dyDescent="0.25">
      <c r="A6" s="9" t="s">
        <v>90</v>
      </c>
      <c r="B6" s="10" t="s">
        <v>9</v>
      </c>
      <c r="C6" s="10" t="s">
        <v>14</v>
      </c>
      <c r="D6" s="11">
        <v>46311</v>
      </c>
      <c r="E6" s="9" t="s">
        <v>91</v>
      </c>
    </row>
    <row r="7" spans="1:5" ht="42.75" customHeight="1" x14ac:dyDescent="0.25">
      <c r="A7" s="9" t="s">
        <v>92</v>
      </c>
      <c r="B7" s="10"/>
      <c r="C7" s="10"/>
      <c r="D7" s="11"/>
      <c r="E7" s="9"/>
    </row>
    <row r="8" spans="1:5" ht="43.5" customHeight="1" x14ac:dyDescent="0.25">
      <c r="A8" s="9" t="s">
        <v>93</v>
      </c>
      <c r="B8" s="10"/>
      <c r="C8" s="10"/>
      <c r="D8" s="11"/>
      <c r="E8" s="9"/>
    </row>
    <row r="9" spans="1:5" ht="54.75" customHeight="1" x14ac:dyDescent="0.25">
      <c r="A9" s="21" t="s">
        <v>94</v>
      </c>
      <c r="B9" s="10"/>
      <c r="C9" s="10"/>
      <c r="D9" s="11"/>
      <c r="E9" s="9"/>
    </row>
    <row r="10" spans="1:5" ht="62.25" customHeight="1" x14ac:dyDescent="0.25">
      <c r="A10" s="9" t="s">
        <v>95</v>
      </c>
      <c r="B10" s="10"/>
      <c r="C10" s="10"/>
      <c r="D10" s="11"/>
      <c r="E10" s="9"/>
    </row>
    <row r="11" spans="1:5" ht="36" customHeight="1" x14ac:dyDescent="0.25">
      <c r="A11" s="9" t="s">
        <v>96</v>
      </c>
      <c r="B11" s="10"/>
      <c r="C11" s="10"/>
      <c r="D11" s="11"/>
      <c r="E11" s="9"/>
    </row>
    <row r="12" spans="1:5" ht="39.75" customHeight="1" x14ac:dyDescent="0.25">
      <c r="A12" s="9" t="s">
        <v>97</v>
      </c>
      <c r="B12" s="10"/>
      <c r="C12" s="10"/>
      <c r="D12" s="11"/>
      <c r="E12" s="9"/>
    </row>
    <row r="13" spans="1:5" ht="42" customHeight="1" x14ac:dyDescent="0.25">
      <c r="A13" s="9" t="s">
        <v>98</v>
      </c>
      <c r="B13" s="10"/>
      <c r="C13" s="10"/>
      <c r="D13" s="11"/>
      <c r="E13" s="9"/>
    </row>
    <row r="14" spans="1:5" ht="24" customHeight="1" x14ac:dyDescent="0.25">
      <c r="A14" s="9" t="s">
        <v>99</v>
      </c>
      <c r="B14" s="10"/>
      <c r="C14" s="10"/>
      <c r="D14" s="11"/>
      <c r="E14" s="9"/>
    </row>
    <row r="15" spans="1:5" ht="24" customHeight="1" x14ac:dyDescent="0.25">
      <c r="A15" s="9"/>
      <c r="B15" s="10"/>
      <c r="C15" s="10"/>
      <c r="D15" s="11"/>
      <c r="E15" s="9"/>
    </row>
    <row r="16" spans="1:5" ht="24" customHeight="1" x14ac:dyDescent="0.25">
      <c r="A16" s="9"/>
      <c r="B16" s="10"/>
      <c r="C16" s="10"/>
      <c r="D16" s="11"/>
      <c r="E16" s="9"/>
    </row>
    <row r="17" spans="1:5" ht="24" customHeight="1" x14ac:dyDescent="0.25">
      <c r="A17" s="9"/>
      <c r="B17" s="10"/>
      <c r="C17" s="10"/>
      <c r="D17" s="11"/>
      <c r="E17" s="9"/>
    </row>
    <row r="18" spans="1:5" ht="24" customHeight="1" x14ac:dyDescent="0.25">
      <c r="A18" s="9"/>
      <c r="B18" s="10"/>
      <c r="C18" s="10"/>
      <c r="D18" s="11"/>
      <c r="E18" s="9"/>
    </row>
  </sheetData>
  <mergeCells count="1">
    <mergeCell ref="A1:E1"/>
  </mergeCells>
  <conditionalFormatting sqref="B4:B18">
    <cfRule type="cellIs" dxfId="35" priority="5" operator="equal">
      <formula>"Not Started"</formula>
    </cfRule>
    <cfRule type="cellIs" dxfId="34" priority="6" operator="equal">
      <formula>"In Progress"</formula>
    </cfRule>
    <cfRule type="cellIs" dxfId="33" priority="7" operator="equal">
      <formula>"Completed"</formula>
    </cfRule>
  </conditionalFormatting>
  <conditionalFormatting sqref="C4:C18">
    <cfRule type="cellIs" dxfId="32" priority="1" operator="equal">
      <formula>"Green"</formula>
    </cfRule>
    <cfRule type="cellIs" dxfId="31" priority="2" operator="equal">
      <formula>"Amber"</formula>
    </cfRule>
    <cfRule type="cellIs" dxfId="30" priority="3" operator="equal">
      <formula>"Red"</formula>
    </cfRule>
  </conditionalFormatting>
  <dataValidations count="3">
    <dataValidation type="list" allowBlank="1" sqref="B4:B18" xr:uid="{00000000-0002-0000-0500-000000000000}">
      <formula1>"Not Started,In Progress,Completed"</formula1>
    </dataValidation>
    <dataValidation type="list" allowBlank="1" sqref="E4:E18" xr:uid="{00000000-0002-0000-05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6F71802A-2A8D-4C80-BB0D-395F97010563}">
      <formula1>"Green,Amber,Red"</formula1>
    </dataValidation>
  </dataValidations>
  <hyperlinks>
    <hyperlink ref="A2" location="'Dashboard'!A1" display="&lt; Return to Dashboard" xr:uid="{256F0676-1111-48D2-8BF2-9E5E1DB5F676}"/>
  </hyperlinks>
  <pageMargins left="0.75" right="0.75" top="1" bottom="1" header="0.5" footer="0.5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showGridLines="0" zoomScale="115" zoomScaleNormal="115"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36" customWidth="1"/>
    <col min="2" max="3" width="14" customWidth="1"/>
    <col min="4" max="4" width="15" style="19" customWidth="1"/>
    <col min="5" max="5" width="38" customWidth="1"/>
  </cols>
  <sheetData>
    <row r="1" spans="1:5" ht="32.1" customHeight="1" x14ac:dyDescent="0.25">
      <c r="A1" s="26" t="s">
        <v>28</v>
      </c>
      <c r="B1" s="27"/>
      <c r="C1" s="27"/>
      <c r="D1" s="27"/>
      <c r="E1" s="27"/>
    </row>
    <row r="2" spans="1:5" ht="18" customHeight="1" x14ac:dyDescent="0.25">
      <c r="A2" s="23" t="s">
        <v>136</v>
      </c>
    </row>
    <row r="3" spans="1:5" ht="26.1" customHeight="1" x14ac:dyDescent="0.25">
      <c r="A3" s="8" t="s">
        <v>38</v>
      </c>
      <c r="B3" s="8" t="s">
        <v>39</v>
      </c>
      <c r="C3" s="8" t="s">
        <v>40</v>
      </c>
      <c r="D3" s="18" t="s">
        <v>41</v>
      </c>
      <c r="E3" s="8" t="s">
        <v>42</v>
      </c>
    </row>
    <row r="4" spans="1:5" ht="49.5" customHeight="1" x14ac:dyDescent="0.25">
      <c r="A4" s="9" t="s">
        <v>100</v>
      </c>
      <c r="B4" s="10"/>
      <c r="C4" s="10"/>
      <c r="D4" s="11"/>
      <c r="E4" s="9"/>
    </row>
    <row r="5" spans="1:5" ht="81" customHeight="1" x14ac:dyDescent="0.25">
      <c r="A5" s="9" t="s">
        <v>101</v>
      </c>
      <c r="B5" s="10" t="s">
        <v>8</v>
      </c>
      <c r="C5" s="10" t="s">
        <v>13</v>
      </c>
      <c r="D5" s="11">
        <v>46309</v>
      </c>
      <c r="E5" s="9" t="s">
        <v>102</v>
      </c>
    </row>
    <row r="6" spans="1:5" ht="41.25" customHeight="1" x14ac:dyDescent="0.25">
      <c r="A6" s="9" t="s">
        <v>103</v>
      </c>
      <c r="B6" s="10"/>
      <c r="C6" s="10"/>
      <c r="D6" s="11"/>
      <c r="E6" s="9"/>
    </row>
    <row r="7" spans="1:5" ht="71.25" customHeight="1" x14ac:dyDescent="0.25">
      <c r="A7" s="9" t="s">
        <v>104</v>
      </c>
      <c r="B7" s="10"/>
      <c r="C7" s="10"/>
      <c r="D7" s="11"/>
      <c r="E7" s="9"/>
    </row>
    <row r="8" spans="1:5" ht="105.75" customHeight="1" x14ac:dyDescent="0.25">
      <c r="A8" s="9" t="s">
        <v>105</v>
      </c>
      <c r="B8" s="10"/>
      <c r="C8" s="10"/>
      <c r="D8" s="11"/>
      <c r="E8" s="9"/>
    </row>
    <row r="9" spans="1:5" ht="48.75" customHeight="1" x14ac:dyDescent="0.25">
      <c r="A9" s="9" t="s">
        <v>106</v>
      </c>
      <c r="B9" s="10"/>
      <c r="C9" s="10"/>
      <c r="D9" s="11"/>
      <c r="E9" s="9"/>
    </row>
    <row r="10" spans="1:5" ht="24" customHeight="1" x14ac:dyDescent="0.25">
      <c r="A10" s="9"/>
      <c r="B10" s="10"/>
      <c r="C10" s="10"/>
      <c r="D10" s="11"/>
      <c r="E10" s="9"/>
    </row>
    <row r="11" spans="1:5" ht="24" customHeight="1" x14ac:dyDescent="0.25">
      <c r="A11" s="9"/>
      <c r="B11" s="10"/>
      <c r="C11" s="10"/>
      <c r="D11" s="11"/>
      <c r="E11" s="9"/>
    </row>
    <row r="12" spans="1:5" ht="24" customHeight="1" x14ac:dyDescent="0.25">
      <c r="A12" s="9"/>
      <c r="B12" s="10"/>
      <c r="C12" s="10"/>
      <c r="D12" s="11"/>
      <c r="E12" s="9"/>
    </row>
    <row r="13" spans="1:5" ht="24" customHeight="1" x14ac:dyDescent="0.25">
      <c r="A13" s="9"/>
      <c r="B13" s="10"/>
      <c r="C13" s="10"/>
      <c r="D13" s="11"/>
      <c r="E13" s="9"/>
    </row>
    <row r="14" spans="1:5" ht="24" customHeight="1" x14ac:dyDescent="0.25">
      <c r="A14" s="9"/>
      <c r="B14" s="10"/>
      <c r="C14" s="10"/>
      <c r="D14" s="11"/>
      <c r="E14" s="9"/>
    </row>
    <row r="15" spans="1:5" ht="24" customHeight="1" x14ac:dyDescent="0.25">
      <c r="A15" s="9"/>
      <c r="B15" s="10"/>
      <c r="C15" s="10"/>
      <c r="D15" s="11"/>
      <c r="E15" s="9"/>
    </row>
    <row r="16" spans="1:5" ht="24" customHeight="1" x14ac:dyDescent="0.25">
      <c r="A16" s="9"/>
      <c r="B16" s="10"/>
      <c r="C16" s="10"/>
      <c r="D16" s="11"/>
      <c r="E16" s="9"/>
    </row>
    <row r="17" spans="1:5" ht="24" customHeight="1" x14ac:dyDescent="0.25">
      <c r="A17" s="9"/>
      <c r="B17" s="10"/>
      <c r="C17" s="10"/>
      <c r="D17" s="11"/>
      <c r="E17" s="9"/>
    </row>
    <row r="18" spans="1:5" ht="24" customHeight="1" x14ac:dyDescent="0.25">
      <c r="A18" s="9"/>
      <c r="B18" s="10"/>
      <c r="C18" s="10"/>
      <c r="D18" s="11"/>
      <c r="E18" s="9"/>
    </row>
  </sheetData>
  <mergeCells count="1">
    <mergeCell ref="A1:E1"/>
  </mergeCells>
  <conditionalFormatting sqref="B4:B18">
    <cfRule type="cellIs" dxfId="29" priority="5" operator="equal">
      <formula>"Not Started"</formula>
    </cfRule>
    <cfRule type="cellIs" dxfId="28" priority="6" operator="equal">
      <formula>"In Progress"</formula>
    </cfRule>
    <cfRule type="cellIs" dxfId="27" priority="7" operator="equal">
      <formula>"Completed"</formula>
    </cfRule>
  </conditionalFormatting>
  <conditionalFormatting sqref="C4:C18">
    <cfRule type="cellIs" dxfId="26" priority="1" operator="equal">
      <formula>"Green"</formula>
    </cfRule>
    <cfRule type="cellIs" dxfId="25" priority="2" operator="equal">
      <formula>"Amber"</formula>
    </cfRule>
    <cfRule type="cellIs" dxfId="24" priority="3" operator="equal">
      <formula>"Red"</formula>
    </cfRule>
  </conditionalFormatting>
  <dataValidations count="3">
    <dataValidation type="list" allowBlank="1" sqref="B4:B18" xr:uid="{00000000-0002-0000-0600-000000000000}">
      <formula1>"Not Started,In Progress,Completed"</formula1>
    </dataValidation>
    <dataValidation type="list" allowBlank="1" sqref="E4:E18" xr:uid="{00000000-0002-0000-06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4647D610-A084-4D58-AF9B-C59CD8537776}">
      <formula1>"Green,Amber,Red"</formula1>
    </dataValidation>
  </dataValidations>
  <hyperlinks>
    <hyperlink ref="A2" location="'Dashboard'!A1" display="&lt; Return to Dashboard" xr:uid="{532A4B47-D439-47B5-B1E0-9945B794BCDE}"/>
  </hyperlink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8"/>
  <sheetViews>
    <sheetView showGridLines="0" workbookViewId="0">
      <pane ySplit="3" topLeftCell="A7" activePane="bottomLeft" state="frozen"/>
      <selection pane="bottomLeft" activeCell="A2" sqref="A2"/>
    </sheetView>
  </sheetViews>
  <sheetFormatPr defaultRowHeight="15" x14ac:dyDescent="0.25"/>
  <cols>
    <col min="1" max="1" width="36" customWidth="1"/>
    <col min="2" max="3" width="14" customWidth="1"/>
    <col min="4" max="4" width="15" style="19" customWidth="1"/>
    <col min="5" max="5" width="38" customWidth="1"/>
  </cols>
  <sheetData>
    <row r="1" spans="1:5" ht="32.1" customHeight="1" x14ac:dyDescent="0.25">
      <c r="A1" s="26" t="s">
        <v>29</v>
      </c>
      <c r="B1" s="27"/>
      <c r="C1" s="27"/>
      <c r="D1" s="27"/>
      <c r="E1" s="27"/>
    </row>
    <row r="2" spans="1:5" ht="18" customHeight="1" x14ac:dyDescent="0.25">
      <c r="A2" s="23" t="s">
        <v>136</v>
      </c>
    </row>
    <row r="3" spans="1:5" ht="26.1" customHeight="1" x14ac:dyDescent="0.25">
      <c r="A3" s="7" t="s">
        <v>38</v>
      </c>
      <c r="B3" s="7" t="s">
        <v>39</v>
      </c>
      <c r="C3" s="7" t="s">
        <v>40</v>
      </c>
      <c r="D3" s="20" t="s">
        <v>41</v>
      </c>
      <c r="E3" s="7" t="s">
        <v>42</v>
      </c>
    </row>
    <row r="4" spans="1:5" ht="24" customHeight="1" x14ac:dyDescent="0.25">
      <c r="A4" s="9" t="s">
        <v>107</v>
      </c>
      <c r="B4" s="10"/>
      <c r="C4" s="10"/>
      <c r="D4" s="11"/>
      <c r="E4" s="9"/>
    </row>
    <row r="5" spans="1:5" ht="24" customHeight="1" x14ac:dyDescent="0.25">
      <c r="A5" s="9" t="s">
        <v>108</v>
      </c>
      <c r="B5" s="10"/>
      <c r="C5" s="10"/>
      <c r="D5" s="11"/>
      <c r="E5" s="9"/>
    </row>
    <row r="6" spans="1:5" ht="24" customHeight="1" x14ac:dyDescent="0.25">
      <c r="A6" s="9" t="s">
        <v>109</v>
      </c>
      <c r="B6" s="10"/>
      <c r="C6" s="10"/>
      <c r="D6" s="11"/>
      <c r="E6" s="9"/>
    </row>
    <row r="7" spans="1:5" ht="24" customHeight="1" x14ac:dyDescent="0.25">
      <c r="A7" s="9" t="s">
        <v>110</v>
      </c>
      <c r="B7" s="10"/>
      <c r="C7" s="10"/>
      <c r="D7" s="11"/>
      <c r="E7" s="9"/>
    </row>
    <row r="8" spans="1:5" ht="154.5" customHeight="1" x14ac:dyDescent="0.25">
      <c r="A8" s="9" t="s">
        <v>111</v>
      </c>
      <c r="B8" s="10" t="s">
        <v>8</v>
      </c>
      <c r="C8" s="10" t="s">
        <v>22</v>
      </c>
      <c r="D8" s="11">
        <v>46310</v>
      </c>
      <c r="E8" s="9" t="s">
        <v>112</v>
      </c>
    </row>
    <row r="9" spans="1:5" ht="24" customHeight="1" x14ac:dyDescent="0.25">
      <c r="A9" s="9"/>
      <c r="B9" s="10"/>
      <c r="C9" s="10"/>
      <c r="D9" s="11"/>
      <c r="E9" s="9"/>
    </row>
    <row r="10" spans="1:5" ht="24" customHeight="1" x14ac:dyDescent="0.25">
      <c r="A10" s="9"/>
      <c r="B10" s="10"/>
      <c r="C10" s="10"/>
      <c r="D10" s="11"/>
      <c r="E10" s="9"/>
    </row>
    <row r="11" spans="1:5" ht="24" customHeight="1" x14ac:dyDescent="0.25">
      <c r="A11" s="9"/>
      <c r="B11" s="10"/>
      <c r="C11" s="10"/>
      <c r="D11" s="11"/>
      <c r="E11" s="9"/>
    </row>
    <row r="12" spans="1:5" ht="24" customHeight="1" x14ac:dyDescent="0.25">
      <c r="A12" s="9"/>
      <c r="B12" s="10"/>
      <c r="C12" s="10"/>
      <c r="D12" s="11"/>
      <c r="E12" s="9"/>
    </row>
    <row r="13" spans="1:5" ht="24" customHeight="1" x14ac:dyDescent="0.25">
      <c r="A13" s="9"/>
      <c r="B13" s="10"/>
      <c r="C13" s="10"/>
      <c r="D13" s="11"/>
      <c r="E13" s="9"/>
    </row>
    <row r="14" spans="1:5" ht="24" customHeight="1" x14ac:dyDescent="0.25">
      <c r="A14" s="9"/>
      <c r="B14" s="10"/>
      <c r="C14" s="10"/>
      <c r="D14" s="11"/>
      <c r="E14" s="9"/>
    </row>
    <row r="15" spans="1:5" ht="24" customHeight="1" x14ac:dyDescent="0.25">
      <c r="A15" s="9"/>
      <c r="B15" s="10"/>
      <c r="C15" s="10"/>
      <c r="D15" s="11"/>
      <c r="E15" s="9"/>
    </row>
    <row r="16" spans="1:5" ht="24" customHeight="1" x14ac:dyDescent="0.25">
      <c r="A16" s="9"/>
      <c r="B16" s="10"/>
      <c r="C16" s="10"/>
      <c r="D16" s="11"/>
      <c r="E16" s="9"/>
    </row>
    <row r="17" spans="1:5" ht="24" customHeight="1" x14ac:dyDescent="0.25">
      <c r="A17" s="9"/>
      <c r="B17" s="10"/>
      <c r="C17" s="10"/>
      <c r="D17" s="11"/>
      <c r="E17" s="9"/>
    </row>
    <row r="18" spans="1:5" ht="24" customHeight="1" x14ac:dyDescent="0.25">
      <c r="A18" s="9"/>
      <c r="B18" s="10"/>
      <c r="C18" s="10"/>
      <c r="D18" s="11"/>
      <c r="E18" s="9"/>
    </row>
  </sheetData>
  <mergeCells count="1">
    <mergeCell ref="A1:E1"/>
  </mergeCells>
  <conditionalFormatting sqref="B4:B18">
    <cfRule type="cellIs" dxfId="23" priority="5" operator="equal">
      <formula>"Not Started"</formula>
    </cfRule>
    <cfRule type="cellIs" dxfId="22" priority="6" operator="equal">
      <formula>"In Progress"</formula>
    </cfRule>
    <cfRule type="cellIs" dxfId="21" priority="7" operator="equal">
      <formula>"Completed"</formula>
    </cfRule>
  </conditionalFormatting>
  <conditionalFormatting sqref="C4:C18">
    <cfRule type="cellIs" dxfId="20" priority="1" operator="equal">
      <formula>"Green"</formula>
    </cfRule>
    <cfRule type="cellIs" dxfId="19" priority="2" operator="equal">
      <formula>"Amber"</formula>
    </cfRule>
    <cfRule type="cellIs" dxfId="18" priority="3" operator="equal">
      <formula>"Red"</formula>
    </cfRule>
  </conditionalFormatting>
  <dataValidations count="3">
    <dataValidation type="list" allowBlank="1" sqref="B4:B18" xr:uid="{00000000-0002-0000-0700-000000000000}">
      <formula1>"Not Started,In Progress,Completed"</formula1>
    </dataValidation>
    <dataValidation type="list" allowBlank="1" sqref="E4:E18" xr:uid="{00000000-0002-0000-07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15AF1E36-42FD-4CF9-95B4-34BFF7143734}">
      <formula1>"Green,Amber,Red"</formula1>
    </dataValidation>
  </dataValidations>
  <hyperlinks>
    <hyperlink ref="A2" location="'Dashboard'!A1" display="&lt; Return to Dashboard" xr:uid="{6C29F949-0882-4F04-95C2-56A5A530131C}"/>
  </hyperlink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pane ySplit="3" topLeftCell="A4" activePane="bottomLeft" state="frozen"/>
      <selection activeCell="D1" sqref="D1"/>
      <selection pane="bottomLeft" activeCell="A2" sqref="A2"/>
    </sheetView>
  </sheetViews>
  <sheetFormatPr defaultRowHeight="15" x14ac:dyDescent="0.25"/>
  <cols>
    <col min="1" max="1" width="36" customWidth="1"/>
    <col min="2" max="3" width="14" customWidth="1"/>
    <col min="4" max="4" width="15" style="19" customWidth="1"/>
    <col min="5" max="5" width="38" customWidth="1"/>
  </cols>
  <sheetData>
    <row r="1" spans="1:5" ht="32.1" customHeight="1" x14ac:dyDescent="0.25">
      <c r="A1" s="39" t="s">
        <v>30</v>
      </c>
      <c r="B1" s="27"/>
      <c r="C1" s="27"/>
      <c r="D1" s="27"/>
      <c r="E1" s="27"/>
    </row>
    <row r="2" spans="1:5" ht="18" customHeight="1" x14ac:dyDescent="0.25">
      <c r="A2" s="23" t="s">
        <v>136</v>
      </c>
    </row>
    <row r="3" spans="1:5" ht="26.1" customHeight="1" x14ac:dyDescent="0.25">
      <c r="A3" s="7" t="s">
        <v>38</v>
      </c>
      <c r="B3" s="7" t="s">
        <v>39</v>
      </c>
      <c r="C3" s="7" t="s">
        <v>40</v>
      </c>
      <c r="D3" s="20" t="s">
        <v>41</v>
      </c>
      <c r="E3" s="7" t="s">
        <v>42</v>
      </c>
    </row>
    <row r="4" spans="1:5" ht="49.5" customHeight="1" x14ac:dyDescent="0.25">
      <c r="A4" s="2" t="s">
        <v>113</v>
      </c>
      <c r="B4" s="3" t="s">
        <v>8</v>
      </c>
      <c r="C4" s="3" t="s">
        <v>22</v>
      </c>
      <c r="D4" s="4">
        <v>46308</v>
      </c>
      <c r="E4" s="2" t="s">
        <v>114</v>
      </c>
    </row>
    <row r="5" spans="1:5" ht="42.75" customHeight="1" x14ac:dyDescent="0.25">
      <c r="A5" s="2" t="s">
        <v>115</v>
      </c>
      <c r="B5" s="3"/>
      <c r="C5" s="3"/>
      <c r="D5" s="4"/>
      <c r="E5" s="2"/>
    </row>
    <row r="6" spans="1:5" ht="45.75" customHeight="1" x14ac:dyDescent="0.25">
      <c r="A6" s="2" t="s">
        <v>116</v>
      </c>
      <c r="B6" s="3"/>
      <c r="C6" s="3"/>
      <c r="D6" s="4"/>
      <c r="E6" s="2"/>
    </row>
    <row r="7" spans="1:5" ht="24" customHeight="1" x14ac:dyDescent="0.25">
      <c r="A7" s="2"/>
      <c r="B7" s="3"/>
      <c r="C7" s="3"/>
      <c r="D7" s="4"/>
      <c r="E7" s="2"/>
    </row>
    <row r="8" spans="1:5" ht="24" customHeight="1" x14ac:dyDescent="0.25">
      <c r="A8" s="2"/>
      <c r="B8" s="3"/>
      <c r="C8" s="3"/>
      <c r="D8" s="4"/>
      <c r="E8" s="2"/>
    </row>
    <row r="9" spans="1:5" ht="24" customHeight="1" x14ac:dyDescent="0.25">
      <c r="A9" s="2"/>
      <c r="B9" s="3"/>
      <c r="C9" s="3"/>
      <c r="D9" s="4"/>
      <c r="E9" s="2"/>
    </row>
    <row r="10" spans="1:5" ht="24" customHeight="1" x14ac:dyDescent="0.25">
      <c r="A10" s="2"/>
      <c r="B10" s="3"/>
      <c r="C10" s="3"/>
      <c r="D10" s="4"/>
      <c r="E10" s="2"/>
    </row>
    <row r="11" spans="1:5" ht="24" customHeight="1" x14ac:dyDescent="0.25">
      <c r="A11" s="2"/>
      <c r="B11" s="3"/>
      <c r="C11" s="3"/>
      <c r="D11" s="4"/>
      <c r="E11" s="2"/>
    </row>
    <row r="12" spans="1:5" ht="24" customHeight="1" x14ac:dyDescent="0.25">
      <c r="A12" s="2"/>
      <c r="B12" s="3"/>
      <c r="C12" s="3"/>
      <c r="D12" s="4"/>
      <c r="E12" s="2"/>
    </row>
    <row r="13" spans="1:5" ht="24" customHeight="1" x14ac:dyDescent="0.25">
      <c r="A13" s="2"/>
      <c r="B13" s="3"/>
      <c r="C13" s="3"/>
      <c r="D13" s="4"/>
      <c r="E13" s="2"/>
    </row>
    <row r="14" spans="1:5" ht="24" customHeight="1" x14ac:dyDescent="0.25">
      <c r="A14" s="2"/>
      <c r="B14" s="3"/>
      <c r="C14" s="3"/>
      <c r="D14" s="4"/>
      <c r="E14" s="2"/>
    </row>
    <row r="15" spans="1:5" ht="24" customHeight="1" x14ac:dyDescent="0.25">
      <c r="A15" s="2"/>
      <c r="B15" s="3"/>
      <c r="C15" s="3"/>
      <c r="D15" s="4"/>
      <c r="E15" s="2"/>
    </row>
    <row r="16" spans="1:5" ht="24" customHeight="1" x14ac:dyDescent="0.25">
      <c r="A16" s="2"/>
      <c r="B16" s="3"/>
      <c r="C16" s="3"/>
      <c r="D16" s="4"/>
      <c r="E16" s="2"/>
    </row>
    <row r="17" spans="1:5" ht="24" customHeight="1" x14ac:dyDescent="0.25">
      <c r="A17" s="2"/>
      <c r="B17" s="3"/>
      <c r="C17" s="3"/>
      <c r="D17" s="4"/>
      <c r="E17" s="2"/>
    </row>
    <row r="18" spans="1:5" ht="24" customHeight="1" x14ac:dyDescent="0.25">
      <c r="A18" s="2"/>
      <c r="B18" s="3"/>
      <c r="C18" s="3"/>
      <c r="D18" s="4"/>
      <c r="E18" s="2"/>
    </row>
  </sheetData>
  <mergeCells count="1">
    <mergeCell ref="A1:E1"/>
  </mergeCells>
  <conditionalFormatting sqref="B4:B18">
    <cfRule type="cellIs" dxfId="17" priority="5" operator="equal">
      <formula>"Not Started"</formula>
    </cfRule>
    <cfRule type="cellIs" dxfId="16" priority="6" operator="equal">
      <formula>"In Progress"</formula>
    </cfRule>
    <cfRule type="cellIs" dxfId="15" priority="7" operator="equal">
      <formula>"Completed"</formula>
    </cfRule>
  </conditionalFormatting>
  <conditionalFormatting sqref="C4:C18">
    <cfRule type="cellIs" dxfId="14" priority="1" operator="equal">
      <formula>"Green"</formula>
    </cfRule>
    <cfRule type="cellIs" dxfId="13" priority="2" operator="equal">
      <formula>"Amber"</formula>
    </cfRule>
    <cfRule type="cellIs" dxfId="12" priority="3" operator="equal">
      <formula>"Red"</formula>
    </cfRule>
  </conditionalFormatting>
  <dataValidations count="3">
    <dataValidation type="list" allowBlank="1" sqref="B4:B18" xr:uid="{00000000-0002-0000-0800-000000000000}">
      <formula1>"Not Started,In Progress,Completed"</formula1>
    </dataValidation>
    <dataValidation type="list" allowBlank="1" sqref="E4:E18" xr:uid="{00000000-0002-0000-08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5CD10166-6FE4-4EB5-91B1-D37A7BE2EFF9}">
      <formula1>"Green,Amber,Red"</formula1>
    </dataValidation>
  </dataValidations>
  <hyperlinks>
    <hyperlink ref="A2" location="'Dashboard'!A1" display="&lt; Return to Dashboard" xr:uid="{AD72605E-D32B-4218-B4CF-360171F9B183}"/>
  </hyperlink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8"/>
  <sheetViews>
    <sheetView showGridLines="0" workbookViewId="0">
      <pane ySplit="3" topLeftCell="A4" activePane="bottomLeft" state="frozen"/>
      <selection pane="bottomLeft" activeCell="B10" sqref="B10"/>
    </sheetView>
  </sheetViews>
  <sheetFormatPr defaultRowHeight="15" x14ac:dyDescent="0.25"/>
  <cols>
    <col min="1" max="1" width="36" customWidth="1"/>
    <col min="2" max="3" width="14" customWidth="1"/>
    <col min="4" max="4" width="15" style="19" customWidth="1"/>
    <col min="5" max="5" width="38" customWidth="1"/>
  </cols>
  <sheetData>
    <row r="1" spans="1:5" ht="32.1" customHeight="1" x14ac:dyDescent="0.25">
      <c r="A1" s="39" t="s">
        <v>31</v>
      </c>
      <c r="B1" s="27"/>
      <c r="C1" s="27"/>
      <c r="D1" s="27"/>
      <c r="E1" s="27"/>
    </row>
    <row r="2" spans="1:5" ht="18" customHeight="1" x14ac:dyDescent="0.25">
      <c r="A2" s="23" t="s">
        <v>136</v>
      </c>
    </row>
    <row r="3" spans="1:5" ht="26.1" customHeight="1" x14ac:dyDescent="0.25">
      <c r="A3" s="7" t="s">
        <v>38</v>
      </c>
      <c r="B3" s="7" t="s">
        <v>39</v>
      </c>
      <c r="C3" s="7" t="s">
        <v>40</v>
      </c>
      <c r="D3" s="20" t="s">
        <v>41</v>
      </c>
      <c r="E3" s="7" t="s">
        <v>42</v>
      </c>
    </row>
    <row r="4" spans="1:5" ht="24" customHeight="1" x14ac:dyDescent="0.25">
      <c r="A4" s="2" t="s">
        <v>117</v>
      </c>
      <c r="B4" s="3"/>
      <c r="C4" s="3"/>
      <c r="D4" s="4"/>
      <c r="E4" s="2"/>
    </row>
    <row r="5" spans="1:5" ht="24" customHeight="1" x14ac:dyDescent="0.25">
      <c r="A5" s="2" t="s">
        <v>118</v>
      </c>
      <c r="B5" s="3"/>
      <c r="C5" s="3"/>
      <c r="D5" s="4"/>
      <c r="E5" s="2"/>
    </row>
    <row r="6" spans="1:5" ht="24" customHeight="1" x14ac:dyDescent="0.25">
      <c r="A6" s="2" t="s">
        <v>119</v>
      </c>
      <c r="B6" s="3"/>
      <c r="C6" s="3"/>
      <c r="D6" s="4"/>
      <c r="E6" s="2"/>
    </row>
    <row r="7" spans="1:5" ht="24" customHeight="1" x14ac:dyDescent="0.25">
      <c r="A7" s="2" t="s">
        <v>120</v>
      </c>
      <c r="B7" s="3"/>
      <c r="C7" s="3"/>
      <c r="D7" s="4"/>
      <c r="E7" s="2"/>
    </row>
    <row r="8" spans="1:5" ht="24" customHeight="1" x14ac:dyDescent="0.25">
      <c r="A8" s="2"/>
      <c r="B8" s="3"/>
      <c r="C8" s="3"/>
      <c r="D8" s="4"/>
      <c r="E8" s="2"/>
    </row>
    <row r="9" spans="1:5" ht="24" customHeight="1" x14ac:dyDescent="0.25">
      <c r="A9" s="2"/>
      <c r="B9" s="3"/>
      <c r="C9" s="3"/>
      <c r="D9" s="4"/>
      <c r="E9" s="2"/>
    </row>
    <row r="10" spans="1:5" ht="24" customHeight="1" x14ac:dyDescent="0.25">
      <c r="A10" s="2"/>
      <c r="B10" s="3"/>
      <c r="C10" s="3"/>
      <c r="D10" s="4"/>
      <c r="E10" s="2"/>
    </row>
    <row r="11" spans="1:5" ht="24" customHeight="1" x14ac:dyDescent="0.25">
      <c r="A11" s="2"/>
      <c r="B11" s="3"/>
      <c r="C11" s="3"/>
      <c r="D11" s="4"/>
      <c r="E11" s="2"/>
    </row>
    <row r="12" spans="1:5" ht="24" customHeight="1" x14ac:dyDescent="0.25">
      <c r="A12" s="2"/>
      <c r="B12" s="3"/>
      <c r="C12" s="3"/>
      <c r="D12" s="4"/>
      <c r="E12" s="2"/>
    </row>
    <row r="13" spans="1:5" ht="24" customHeight="1" x14ac:dyDescent="0.25">
      <c r="A13" s="2"/>
      <c r="B13" s="3"/>
      <c r="C13" s="3"/>
      <c r="D13" s="4"/>
      <c r="E13" s="2"/>
    </row>
    <row r="14" spans="1:5" ht="24" customHeight="1" x14ac:dyDescent="0.25">
      <c r="A14" s="2"/>
      <c r="B14" s="3"/>
      <c r="C14" s="3"/>
      <c r="D14" s="4"/>
      <c r="E14" s="2"/>
    </row>
    <row r="15" spans="1:5" ht="24" customHeight="1" x14ac:dyDescent="0.25">
      <c r="A15" s="2"/>
      <c r="B15" s="3"/>
      <c r="C15" s="3"/>
      <c r="D15" s="4"/>
      <c r="E15" s="2"/>
    </row>
    <row r="16" spans="1:5" ht="24" customHeight="1" x14ac:dyDescent="0.25">
      <c r="A16" s="2"/>
      <c r="B16" s="3"/>
      <c r="C16" s="3"/>
      <c r="D16" s="4"/>
      <c r="E16" s="2"/>
    </row>
    <row r="17" spans="1:5" ht="24" customHeight="1" x14ac:dyDescent="0.25">
      <c r="A17" s="2"/>
      <c r="B17" s="3"/>
      <c r="C17" s="3"/>
      <c r="D17" s="4"/>
      <c r="E17" s="2"/>
    </row>
    <row r="18" spans="1:5" ht="24" customHeight="1" x14ac:dyDescent="0.25">
      <c r="A18" s="2"/>
      <c r="B18" s="3"/>
      <c r="C18" s="3"/>
      <c r="D18" s="4"/>
      <c r="E18" s="2"/>
    </row>
  </sheetData>
  <mergeCells count="1">
    <mergeCell ref="A1:E1"/>
  </mergeCells>
  <conditionalFormatting sqref="B4:B18">
    <cfRule type="cellIs" dxfId="11" priority="5" operator="equal">
      <formula>"Not Started"</formula>
    </cfRule>
    <cfRule type="cellIs" dxfId="10" priority="6" operator="equal">
      <formula>"In Progress"</formula>
    </cfRule>
    <cfRule type="cellIs" dxfId="9" priority="7" operator="equal">
      <formula>"Completed"</formula>
    </cfRule>
  </conditionalFormatting>
  <conditionalFormatting sqref="C4:C18">
    <cfRule type="cellIs" dxfId="8" priority="1" operator="equal">
      <formula>"Green"</formula>
    </cfRule>
    <cfRule type="cellIs" dxfId="7" priority="2" operator="equal">
      <formula>"Amber"</formula>
    </cfRule>
    <cfRule type="cellIs" dxfId="6" priority="3" operator="equal">
      <formula>"Red"</formula>
    </cfRule>
  </conditionalFormatting>
  <dataValidations count="3">
    <dataValidation type="list" allowBlank="1" sqref="B4:B18" xr:uid="{00000000-0002-0000-0900-000000000000}">
      <formula1>"Not Started,In Progress,Completed"</formula1>
    </dataValidation>
    <dataValidation type="list" allowBlank="1" sqref="E4:E18" xr:uid="{00000000-0002-0000-09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0362C242-C101-4AD1-A169-21453B952650}">
      <formula1>"Green,Amber,Red"</formula1>
    </dataValidation>
  </dataValidations>
  <hyperlinks>
    <hyperlink ref="A2" location="'Dashboard'!A1" display="&lt; Return to Dashboard" xr:uid="{B8F5389E-0181-4A32-9345-3D8FE1B6DDCA}"/>
  </hyperlinks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8"/>
  <sheetViews>
    <sheetView showGridLines="0" zoomScale="115" zoomScaleNormal="115" workbookViewId="0">
      <pane ySplit="3" topLeftCell="A7" activePane="bottomLeft" state="frozen"/>
      <selection pane="bottomLeft" activeCell="A2" sqref="A2"/>
    </sheetView>
  </sheetViews>
  <sheetFormatPr defaultRowHeight="15" x14ac:dyDescent="0.25"/>
  <cols>
    <col min="1" max="1" width="36" customWidth="1"/>
    <col min="2" max="3" width="14" customWidth="1"/>
    <col min="4" max="4" width="15" style="19" customWidth="1"/>
    <col min="5" max="5" width="38" customWidth="1"/>
  </cols>
  <sheetData>
    <row r="1" spans="1:5" ht="32.1" customHeight="1" x14ac:dyDescent="0.25">
      <c r="A1" s="26" t="s">
        <v>32</v>
      </c>
      <c r="B1" s="27"/>
      <c r="C1" s="27"/>
      <c r="D1" s="27"/>
      <c r="E1" s="27"/>
    </row>
    <row r="2" spans="1:5" ht="18" customHeight="1" x14ac:dyDescent="0.25">
      <c r="A2" s="23" t="s">
        <v>136</v>
      </c>
    </row>
    <row r="3" spans="1:5" ht="26.1" customHeight="1" x14ac:dyDescent="0.25">
      <c r="A3" s="8" t="s">
        <v>38</v>
      </c>
      <c r="B3" s="8" t="s">
        <v>39</v>
      </c>
      <c r="C3" s="8" t="s">
        <v>40</v>
      </c>
      <c r="D3" s="18" t="s">
        <v>41</v>
      </c>
      <c r="E3" s="8" t="s">
        <v>42</v>
      </c>
    </row>
    <row r="4" spans="1:5" ht="44.25" customHeight="1" x14ac:dyDescent="0.25">
      <c r="A4" s="9" t="s">
        <v>121</v>
      </c>
      <c r="B4" s="10"/>
      <c r="C4" s="10"/>
      <c r="D4" s="11"/>
      <c r="E4" s="9"/>
    </row>
    <row r="5" spans="1:5" ht="43.5" customHeight="1" x14ac:dyDescent="0.25">
      <c r="A5" s="9" t="s">
        <v>122</v>
      </c>
      <c r="B5" s="10"/>
      <c r="C5" s="10"/>
      <c r="D5" s="11"/>
      <c r="E5" s="9"/>
    </row>
    <row r="6" spans="1:5" ht="48.75" customHeight="1" x14ac:dyDescent="0.25">
      <c r="A6" s="9" t="s">
        <v>123</v>
      </c>
      <c r="B6" s="10"/>
      <c r="C6" s="10"/>
      <c r="D6" s="11"/>
      <c r="E6" s="9"/>
    </row>
    <row r="7" spans="1:5" ht="45.75" customHeight="1" x14ac:dyDescent="0.25">
      <c r="A7" s="9" t="s">
        <v>124</v>
      </c>
      <c r="B7" s="10"/>
      <c r="C7" s="10"/>
      <c r="D7" s="11"/>
      <c r="E7" s="9"/>
    </row>
    <row r="8" spans="1:5" ht="57" customHeight="1" x14ac:dyDescent="0.25">
      <c r="A8" s="9" t="s">
        <v>125</v>
      </c>
      <c r="B8" s="10"/>
      <c r="C8" s="10"/>
      <c r="D8" s="11"/>
      <c r="E8" s="9"/>
    </row>
    <row r="9" spans="1:5" ht="90.75" customHeight="1" x14ac:dyDescent="0.25">
      <c r="A9" s="9" t="s">
        <v>126</v>
      </c>
      <c r="B9" s="10" t="s">
        <v>8</v>
      </c>
      <c r="C9" s="10" t="s">
        <v>22</v>
      </c>
      <c r="D9" s="11">
        <v>46310</v>
      </c>
      <c r="E9" s="9" t="s">
        <v>127</v>
      </c>
    </row>
    <row r="10" spans="1:5" ht="42" customHeight="1" x14ac:dyDescent="0.25">
      <c r="A10" s="9" t="s">
        <v>128</v>
      </c>
      <c r="B10" s="10"/>
      <c r="C10" s="10"/>
      <c r="D10" s="11"/>
      <c r="E10" s="9"/>
    </row>
    <row r="11" spans="1:5" ht="43.5" customHeight="1" x14ac:dyDescent="0.25">
      <c r="A11" s="9" t="s">
        <v>129</v>
      </c>
      <c r="B11" s="10"/>
      <c r="C11" s="10"/>
      <c r="D11" s="11"/>
      <c r="E11" s="9"/>
    </row>
    <row r="12" spans="1:5" ht="24" customHeight="1" x14ac:dyDescent="0.25">
      <c r="A12" s="9"/>
      <c r="B12" s="10"/>
      <c r="C12" s="10"/>
      <c r="D12" s="11"/>
      <c r="E12" s="9"/>
    </row>
    <row r="13" spans="1:5" ht="24" customHeight="1" x14ac:dyDescent="0.25">
      <c r="A13" s="9"/>
      <c r="B13" s="10"/>
      <c r="C13" s="10"/>
      <c r="D13" s="11"/>
      <c r="E13" s="9"/>
    </row>
    <row r="14" spans="1:5" ht="24" customHeight="1" x14ac:dyDescent="0.25">
      <c r="A14" s="9"/>
      <c r="B14" s="10"/>
      <c r="C14" s="10"/>
      <c r="D14" s="11"/>
      <c r="E14" s="9"/>
    </row>
    <row r="15" spans="1:5" ht="24" customHeight="1" x14ac:dyDescent="0.25">
      <c r="A15" s="9"/>
      <c r="B15" s="10"/>
      <c r="C15" s="10"/>
      <c r="D15" s="11"/>
      <c r="E15" s="9"/>
    </row>
    <row r="16" spans="1:5" ht="24" customHeight="1" x14ac:dyDescent="0.25">
      <c r="A16" s="9"/>
      <c r="B16" s="10"/>
      <c r="C16" s="10"/>
      <c r="D16" s="11"/>
      <c r="E16" s="9"/>
    </row>
    <row r="17" spans="1:5" ht="24" customHeight="1" x14ac:dyDescent="0.25">
      <c r="A17" s="9"/>
      <c r="B17" s="10"/>
      <c r="C17" s="10"/>
      <c r="D17" s="11"/>
      <c r="E17" s="9"/>
    </row>
    <row r="18" spans="1:5" ht="24" customHeight="1" x14ac:dyDescent="0.25">
      <c r="A18" s="9"/>
      <c r="B18" s="10"/>
      <c r="C18" s="10"/>
      <c r="D18" s="11"/>
      <c r="E18" s="9"/>
    </row>
  </sheetData>
  <mergeCells count="1">
    <mergeCell ref="A1:E1"/>
  </mergeCells>
  <conditionalFormatting sqref="B4:B18">
    <cfRule type="cellIs" dxfId="5" priority="5" operator="equal">
      <formula>"Not Started"</formula>
    </cfRule>
    <cfRule type="cellIs" dxfId="4" priority="6" operator="equal">
      <formula>"In Progress"</formula>
    </cfRule>
    <cfRule type="cellIs" dxfId="3" priority="7" operator="equal">
      <formula>"Completed"</formula>
    </cfRule>
  </conditionalFormatting>
  <conditionalFormatting sqref="C4:C18">
    <cfRule type="cellIs" dxfId="2" priority="1" operator="equal">
      <formula>"Green"</formula>
    </cfRule>
    <cfRule type="cellIs" dxfId="1" priority="2" operator="equal">
      <formula>"Amber"</formula>
    </cfRule>
    <cfRule type="cellIs" dxfId="0" priority="3" operator="equal">
      <formula>"Red"</formula>
    </cfRule>
  </conditionalFormatting>
  <dataValidations count="3">
    <dataValidation type="list" allowBlank="1" sqref="B4:B18" xr:uid="{00000000-0002-0000-0A00-000000000000}">
      <formula1>"Not Started,In Progress,Completed"</formula1>
    </dataValidation>
    <dataValidation type="list" allowBlank="1" sqref="E4:E18" xr:uid="{00000000-0002-0000-0A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6C759799-FD58-478C-A3E1-2DA6CB9B7404}">
      <formula1>"Green,Amber,Red"</formula1>
    </dataValidation>
  </dataValidations>
  <hyperlinks>
    <hyperlink ref="A2" location="'Dashboard'!A1" display="&lt; Return to Dashboard" xr:uid="{CDB968D3-9478-4837-AD74-86FA9638F8B2}"/>
  </hyperlinks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D12"/>
  <sheetViews>
    <sheetView showGridLines="0" workbookViewId="0">
      <selection activeCell="C10" sqref="C10"/>
    </sheetView>
  </sheetViews>
  <sheetFormatPr defaultRowHeight="15" x14ac:dyDescent="0.25"/>
  <cols>
    <col min="1" max="1" width="3" customWidth="1"/>
    <col min="2" max="2" width="22" customWidth="1"/>
    <col min="3" max="3" width="16" customWidth="1"/>
    <col min="4" max="4" width="3" customWidth="1"/>
  </cols>
  <sheetData>
    <row r="2" spans="2:4" ht="28.5" customHeight="1" x14ac:dyDescent="0.45">
      <c r="B2" s="41" t="s">
        <v>130</v>
      </c>
      <c r="C2" s="27"/>
      <c r="D2" s="27"/>
    </row>
    <row r="4" spans="2:4" ht="18.75" customHeight="1" x14ac:dyDescent="0.3">
      <c r="B4" s="28" t="s">
        <v>131</v>
      </c>
      <c r="C4" s="27"/>
      <c r="D4" s="27"/>
    </row>
    <row r="6" spans="2:4" ht="15.75" customHeight="1" x14ac:dyDescent="0.25">
      <c r="B6" s="12" t="s">
        <v>40</v>
      </c>
      <c r="C6" s="12" t="s">
        <v>132</v>
      </c>
    </row>
    <row r="7" spans="2:4" x14ac:dyDescent="0.25">
      <c r="B7" s="13" t="s">
        <v>14</v>
      </c>
      <c r="C7" s="3">
        <v>1</v>
      </c>
    </row>
    <row r="8" spans="2:4" x14ac:dyDescent="0.25">
      <c r="B8" s="14" t="s">
        <v>13</v>
      </c>
      <c r="C8" s="3">
        <v>3</v>
      </c>
    </row>
    <row r="9" spans="2:4" x14ac:dyDescent="0.25">
      <c r="B9" s="15" t="s">
        <v>22</v>
      </c>
      <c r="C9" s="3">
        <v>6</v>
      </c>
    </row>
    <row r="10" spans="2:4" x14ac:dyDescent="0.25">
      <c r="B10" s="16" t="s">
        <v>133</v>
      </c>
      <c r="C10" s="3" t="s">
        <v>134</v>
      </c>
    </row>
    <row r="12" spans="2:4" x14ac:dyDescent="0.25">
      <c r="B12" s="40" t="s">
        <v>135</v>
      </c>
      <c r="C12" s="27"/>
      <c r="D12" s="27"/>
    </row>
  </sheetData>
  <mergeCells count="3">
    <mergeCell ref="B12:D12"/>
    <mergeCell ref="B2:D2"/>
    <mergeCell ref="B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Revision Timetable</vt:lpstr>
      <vt:lpstr>Dashboard</vt:lpstr>
      <vt:lpstr>Biology</vt:lpstr>
      <vt:lpstr>Chemistry</vt:lpstr>
      <vt:lpstr>Physics</vt:lpstr>
      <vt:lpstr>Mathematics</vt:lpstr>
      <vt:lpstr>English Language</vt:lpstr>
      <vt:lpstr>English Literature</vt:lpstr>
      <vt:lpstr>Geography</vt:lpstr>
      <vt:lpstr>History</vt:lpstr>
      <vt:lpstr>Spanish</vt:lpstr>
      <vt:lpstr>Computer Science</vt:lpstr>
      <vt:lpstr>Settings</vt:lpstr>
      <vt:lpstr>Subjects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Chinedu Chile</cp:lastModifiedBy>
  <cp:revision/>
  <dcterms:created xsi:type="dcterms:W3CDTF">2026-10-11T11:12:22Z</dcterms:created>
  <dcterms:modified xsi:type="dcterms:W3CDTF">2026-10-18T07:52:39Z</dcterms:modified>
  <cp:category/>
  <cp:contentStatus/>
</cp:coreProperties>
</file>
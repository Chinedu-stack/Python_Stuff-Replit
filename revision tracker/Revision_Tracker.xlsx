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48b5d172b360b34/Python Stuff/revision tracker/"/>
    </mc:Choice>
  </mc:AlternateContent>
  <xr:revisionPtr revIDLastSave="138" documentId="11_00C8138D12CB08B88CE0D4140BE5F6EAD60FE473" xr6:coauthVersionLast="47" xr6:coauthVersionMax="47" xr10:uidLastSave="{0467C33F-F2C5-45C0-9242-91868511EA74}"/>
  <bookViews>
    <workbookView xWindow="-120" yWindow="-120" windowWidth="29040" windowHeight="15720" xr2:uid="{00000000-000D-0000-FFFF-FFFF00000000}"/>
  </bookViews>
  <sheets>
    <sheet name="Dashboard" sheetId="1" r:id="rId1"/>
    <sheet name="Biology" sheetId="2" r:id="rId2"/>
    <sheet name="Chemistry" sheetId="3" r:id="rId3"/>
    <sheet name="Physics" sheetId="4" r:id="rId4"/>
    <sheet name="Mathematics" sheetId="5" r:id="rId5"/>
    <sheet name="English Language" sheetId="6" r:id="rId6"/>
    <sheet name="English Literature" sheetId="7" r:id="rId7"/>
    <sheet name="Geography" sheetId="8" r:id="rId8"/>
    <sheet name="History" sheetId="9" r:id="rId9"/>
    <sheet name="Spanish" sheetId="10" r:id="rId10"/>
    <sheet name="Computer Science" sheetId="11" r:id="rId11"/>
    <sheet name="Settings" sheetId="12" r:id="rId12"/>
  </sheets>
  <definedNames>
    <definedName name="AmberInterval">Settings!$C$8</definedName>
    <definedName name="GreenInterval">Settings!$C$9</definedName>
    <definedName name="RedInterval">Settings!$C$7</definedName>
    <definedName name="Subjects">Dashboard!$P$2:$P$11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1" l="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K23" i="1"/>
  <c r="J23" i="1"/>
  <c r="I23" i="1"/>
  <c r="H23" i="1"/>
  <c r="G23" i="1"/>
  <c r="F23" i="1"/>
  <c r="E23" i="1"/>
  <c r="D23" i="1"/>
  <c r="C23" i="1"/>
  <c r="B23" i="1"/>
  <c r="K22" i="1"/>
  <c r="J22" i="1"/>
  <c r="I22" i="1"/>
  <c r="H22" i="1"/>
  <c r="G22" i="1"/>
  <c r="F22" i="1"/>
  <c r="E22" i="1"/>
  <c r="D22" i="1"/>
  <c r="C22" i="1"/>
  <c r="B22" i="1"/>
  <c r="K21" i="1"/>
  <c r="J21" i="1"/>
  <c r="I21" i="1"/>
  <c r="H21" i="1"/>
  <c r="G21" i="1"/>
  <c r="F21" i="1"/>
  <c r="E21" i="1"/>
  <c r="D21" i="1"/>
  <c r="C21" i="1"/>
  <c r="B21" i="1"/>
  <c r="K20" i="1"/>
  <c r="J20" i="1"/>
  <c r="I20" i="1"/>
  <c r="H20" i="1"/>
  <c r="G20" i="1"/>
  <c r="F20" i="1"/>
  <c r="E20" i="1"/>
  <c r="D20" i="1"/>
  <c r="C20" i="1"/>
  <c r="B20" i="1"/>
  <c r="K19" i="1"/>
  <c r="J19" i="1"/>
  <c r="I19" i="1"/>
  <c r="H19" i="1"/>
  <c r="G19" i="1"/>
  <c r="F19" i="1"/>
  <c r="E19" i="1"/>
  <c r="D19" i="1"/>
  <c r="C19" i="1"/>
  <c r="B19" i="1"/>
  <c r="K18" i="1"/>
  <c r="J18" i="1"/>
  <c r="I18" i="1"/>
  <c r="H18" i="1"/>
  <c r="G18" i="1"/>
  <c r="F18" i="1"/>
  <c r="E18" i="1"/>
  <c r="D18" i="1"/>
  <c r="C18" i="1"/>
  <c r="B18" i="1"/>
  <c r="K17" i="1"/>
  <c r="J17" i="1"/>
  <c r="I17" i="1"/>
  <c r="H17" i="1"/>
  <c r="G17" i="1"/>
  <c r="F17" i="1"/>
  <c r="E17" i="1"/>
  <c r="D17" i="1"/>
  <c r="C17" i="1"/>
  <c r="B17" i="1"/>
  <c r="K16" i="1"/>
  <c r="J16" i="1"/>
  <c r="I16" i="1"/>
  <c r="H16" i="1"/>
  <c r="G16" i="1"/>
  <c r="F16" i="1"/>
  <c r="E16" i="1"/>
  <c r="D16" i="1"/>
  <c r="C16" i="1"/>
  <c r="B16" i="1"/>
  <c r="K15" i="1"/>
  <c r="J15" i="1"/>
  <c r="I15" i="1"/>
  <c r="H15" i="1"/>
  <c r="G15" i="1"/>
  <c r="F15" i="1"/>
  <c r="E15" i="1"/>
  <c r="D15" i="1"/>
  <c r="C15" i="1"/>
  <c r="B15" i="1"/>
  <c r="K14" i="1"/>
  <c r="J14" i="1"/>
  <c r="I14" i="1"/>
  <c r="H14" i="1"/>
  <c r="G14" i="1"/>
  <c r="F14" i="1"/>
  <c r="E14" i="1"/>
  <c r="D14" i="1"/>
  <c r="C14" i="1"/>
  <c r="B14" i="1"/>
  <c r="I9" i="1"/>
  <c r="G9" i="1"/>
  <c r="E9" i="1"/>
  <c r="C9" i="1"/>
  <c r="A9" i="1"/>
  <c r="I6" i="1"/>
  <c r="G6" i="1"/>
  <c r="E6" i="1"/>
  <c r="C6" i="1"/>
  <c r="A6" i="1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</calcChain>
</file>

<file path=xl/sharedStrings.xml><?xml version="1.0" encoding="utf-8"?>
<sst xmlns="http://schemas.openxmlformats.org/spreadsheetml/2006/main" count="211" uniqueCount="134">
  <si>
    <t xml:space="preserve">  Chemistry</t>
  </si>
  <si>
    <t>Topic</t>
  </si>
  <si>
    <t>Status</t>
  </si>
  <si>
    <t>Confidence</t>
  </si>
  <si>
    <t>Last Revised</t>
  </si>
  <si>
    <t>Next Review Date</t>
  </si>
  <si>
    <t>Next Action</t>
  </si>
  <si>
    <t xml:space="preserve">  GCSE Revision Tracker — Dashboard</t>
  </si>
  <si>
    <t>Subject list (helper)</t>
  </si>
  <si>
    <t>Biology</t>
  </si>
  <si>
    <t>📊  Overall Progress</t>
  </si>
  <si>
    <t>Chemistry</t>
  </si>
  <si>
    <t>Physics</t>
  </si>
  <si>
    <t>Total topics</t>
  </si>
  <si>
    <t>Not Started</t>
  </si>
  <si>
    <t>In Progress</t>
  </si>
  <si>
    <t>Completed</t>
  </si>
  <si>
    <t>Green</t>
  </si>
  <si>
    <t>Mathematics</t>
  </si>
  <si>
    <t>English Language</t>
  </si>
  <si>
    <t>English Literature</t>
  </si>
  <si>
    <t>Amber</t>
  </si>
  <si>
    <t>Red</t>
  </si>
  <si>
    <t>Not Assessed</t>
  </si>
  <si>
    <t>Due today</t>
  </si>
  <si>
    <t>Overdue</t>
  </si>
  <si>
    <t>Geography</t>
  </si>
  <si>
    <t>History</t>
  </si>
  <si>
    <t>Spanish</t>
  </si>
  <si>
    <t>Computer Science</t>
  </si>
  <si>
    <t>📚  Progress by Subject</t>
  </si>
  <si>
    <t>Subject</t>
  </si>
  <si>
    <t>Total Topics</t>
  </si>
  <si>
    <t>Due</t>
  </si>
  <si>
    <t xml:space="preserve">  Biology</t>
  </si>
  <si>
    <t xml:space="preserve">  Physics</t>
  </si>
  <si>
    <t xml:space="preserve">  Mathematics</t>
  </si>
  <si>
    <t xml:space="preserve">  English Language</t>
  </si>
  <si>
    <t xml:space="preserve">  English Literature</t>
  </si>
  <si>
    <t xml:space="preserve">  Geography</t>
  </si>
  <si>
    <t xml:space="preserve">  History</t>
  </si>
  <si>
    <t xml:space="preserve">  Spanish</t>
  </si>
  <si>
    <t xml:space="preserve">  Computer Science</t>
  </si>
  <si>
    <t>🧭  How to choose what to revise</t>
  </si>
  <si>
    <t>•  Slots 1–3 of the day: your timetable tells you the subject. Open that subject tab and pick the topic.</t>
  </si>
  <si>
    <t>•  Slot 4 (maintenance): use this Dashboard. Pick 3 subjects with Red/Amber/overdue topics, 15 min each.</t>
  </si>
  <si>
    <t>•  Anything overdue? Do those first.  Then Red.  Then Amber.  Then oldest Last Revised.</t>
  </si>
  <si>
    <t>•  A subject with lots of Red or Overdue = focus there. A subject with lots of Green = leave it longer.</t>
  </si>
  <si>
    <t>Movements of molecules</t>
  </si>
  <si>
    <t>Excretion</t>
  </si>
  <si>
    <t>Human Reproduction</t>
  </si>
  <si>
    <t>Organisms in the environment</t>
  </si>
  <si>
    <t>Co-ordination and response</t>
  </si>
  <si>
    <t>Transport in Humans</t>
  </si>
  <si>
    <t>Transport in plants</t>
  </si>
  <si>
    <t>Inheritance</t>
  </si>
  <si>
    <t>Investigation skills and planning investigations</t>
  </si>
  <si>
    <t>Characteristics of living organisms</t>
  </si>
  <si>
    <t>Variety of living organisms</t>
  </si>
  <si>
    <t>Levels of organisation</t>
  </si>
  <si>
    <t>Cell structure</t>
  </si>
  <si>
    <t>Biological Molecules</t>
  </si>
  <si>
    <t>Movement of substances</t>
  </si>
  <si>
    <t>Nutrition in humans</t>
  </si>
  <si>
    <t>Nutrition in plants</t>
  </si>
  <si>
    <t>Respiration</t>
  </si>
  <si>
    <t>Gas exchange in humans</t>
  </si>
  <si>
    <t>Gas exchange in plants</t>
  </si>
  <si>
    <t>Reproduction in plants</t>
  </si>
  <si>
    <t>Feeding relationships</t>
  </si>
  <si>
    <t>Cycles within ecosystems</t>
  </si>
  <si>
    <t>Human Influences</t>
  </si>
  <si>
    <t>⚙  Settings</t>
  </si>
  <si>
    <t>Review intervals — how many days until a topic comes back</t>
  </si>
  <si>
    <t>Interval (days)</t>
  </si>
  <si>
    <t>—</t>
  </si>
  <si>
    <t>Edit the interval numbers in column C to change how often topics come back.</t>
  </si>
  <si>
    <t>Principals of Chemistry  1a - 1e</t>
  </si>
  <si>
    <t>Bonding  1f - 1h</t>
  </si>
  <si>
    <t>Inorganic Chem part 1 - 1a - 1d</t>
  </si>
  <si>
    <t>Inorganic Chem part 1 - 1e - 1g</t>
  </si>
  <si>
    <t>Energetics</t>
  </si>
  <si>
    <t>Rates of Reaction</t>
  </si>
  <si>
    <t>Reversible reaction and equilbria</t>
  </si>
  <si>
    <t xml:space="preserve">y10 Organics </t>
  </si>
  <si>
    <t>y11 Organics</t>
  </si>
  <si>
    <t>9.1 Measuring waves + 10.1 Properties of waves &amp; EM Spectrum</t>
  </si>
  <si>
    <t>9.2 Electrostatics and electrical current</t>
  </si>
  <si>
    <t>9.3 Mains electricity + 10.4 Electrical circuits</t>
  </si>
  <si>
    <t>9.4 Astronomy</t>
  </si>
  <si>
    <t>9.5 Measuring motion + 10.3 Unbalanced forces and acceleration</t>
  </si>
  <si>
    <t>9.6 Magnetism and electromagnets + 10.6 Electromagnetism</t>
  </si>
  <si>
    <t>9.7 Energy types and energy resources + 10.2 Energy transfer, work and power</t>
  </si>
  <si>
    <t>9.8 Density and pressure + 10.5 Pressure in Liquids and Ideal Gases</t>
  </si>
  <si>
    <t>10.7 Thermal energy and Change of State</t>
  </si>
  <si>
    <t>11.1 Radioactivity</t>
  </si>
  <si>
    <t>11.2 Forces, Momentum &amp; Moments</t>
  </si>
  <si>
    <t>Between A Rock &amp; Hard Place Annotation and practise questions</t>
  </si>
  <si>
    <t>Bhutan: Beyond the sky &amp; earth Annotation and practise questions</t>
  </si>
  <si>
    <t>the dangers of a single story annotation and practise questions</t>
  </si>
  <si>
    <t>Young and dyslexic and annotation and practise questions</t>
  </si>
  <si>
    <t>explorers, or boys messing about annotation and practise questions</t>
  </si>
  <si>
    <t>Transactional Writing Practise: Magazine article</t>
  </si>
  <si>
    <t>Transactional Writing Practise: Leaflet text</t>
  </si>
  <si>
    <t>Transactional Writing Practise: Guide</t>
  </si>
  <si>
    <t>Transactional Writing Practise: Letter</t>
  </si>
  <si>
    <t>Themes - Loyalty and honour
Justice
Transition and change</t>
  </si>
  <si>
    <t>Quotations and meaning for Romeo &amp; Juliet characters - Eddie, Alfieri, Catherine, Rodolfo</t>
  </si>
  <si>
    <t>Revise themes: ❤️ Love and romance
👑 Power and control
🕊️ Hope and forgiveness</t>
  </si>
  <si>
    <t>Practise planning and writing essays for VFAB</t>
  </si>
  <si>
    <t>Quotations and meaning for VFAB Characters - Eddie, Alfieri, Catherine, Rodolfo</t>
  </si>
  <si>
    <t>Practise planning and writing essays for R&amp;J</t>
  </si>
  <si>
    <t>Hazards</t>
  </si>
  <si>
    <t>Economic Activity &amp; energy</t>
  </si>
  <si>
    <t>Coasts</t>
  </si>
  <si>
    <t>Coastal Fieldwork</t>
  </si>
  <si>
    <t>Urban Environments</t>
  </si>
  <si>
    <t>America 1918 - 1941</t>
  </si>
  <si>
    <t>US Civil Rights</t>
  </si>
  <si>
    <t>History of Medicine</t>
  </si>
  <si>
    <t>1.1 - Systems Architecture</t>
  </si>
  <si>
    <t>1.2 - Memory and storage</t>
  </si>
  <si>
    <t xml:space="preserve">1.3 - Computer networks, connections and protocols </t>
  </si>
  <si>
    <t>1.4 - Network security</t>
  </si>
  <si>
    <t>1.5 - Systems software</t>
  </si>
  <si>
    <t>2.1 - Ethical, legal, cultural and environmental impacts of digital technology</t>
  </si>
  <si>
    <t>2.2 - Algorithms</t>
  </si>
  <si>
    <t>2.3 - Producing robust programs</t>
  </si>
  <si>
    <t>Grammer + Writing</t>
  </si>
  <si>
    <t>Exam paper practise</t>
  </si>
  <si>
    <t>Listening practise + New Vocab</t>
  </si>
  <si>
    <t>New Vocab + Oral practise</t>
  </si>
  <si>
    <t>Go through y10 and y11 Content</t>
  </si>
  <si>
    <t>Do many Full Past Papers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</si>
</sst>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22"/>
      <color rgb="FF1F3864"/>
      <name val="Calibri"/>
    </font>
    <font>
      <b/>
      <sz val="14"/>
      <color rgb="FF1F3864"/>
      <name val="Calibri"/>
    </font>
    <font>
      <b/>
      <sz val="12"/>
      <color rgb="FFFFFFFF"/>
      <name val="Calibri"/>
    </font>
    <font>
      <b/>
      <sz val="11"/>
      <name val="Calibri"/>
    </font>
    <font>
      <i/>
      <sz val="10"/>
      <color rgb="FF555555"/>
      <name val="Calibri"/>
    </font>
    <font>
      <b/>
      <sz val="18"/>
      <color rgb="FFFFFFFF"/>
      <name val="Calibri"/>
    </font>
    <font>
      <b/>
      <sz val="22"/>
      <color rgb="FFFFFFFF"/>
      <name val="Calibri"/>
    </font>
    <font>
      <b/>
      <sz val="11"/>
      <color rgb="FF333333"/>
      <name val="Calibri"/>
    </font>
    <font>
      <b/>
      <sz val="20"/>
      <color rgb="FF1F3864"/>
      <name val="Calibri"/>
    </font>
    <font>
      <b/>
      <sz val="11"/>
      <color rgb="FF1F3864"/>
      <name val="Calibri"/>
    </font>
    <font>
      <sz val="11"/>
      <color rgb="FF333333"/>
      <name val="Calibri"/>
    </font>
    <font>
      <sz val="11"/>
      <name val="Segoe UI"/>
      <family val="2"/>
    </font>
    <font>
      <b/>
      <sz val="18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8B6B6"/>
      </patternFill>
    </fill>
    <fill>
      <patternFill patternType="solid">
        <fgColor rgb="FFFFE699"/>
      </patternFill>
    </fill>
    <fill>
      <patternFill patternType="solid">
        <fgColor rgb="FFC6EFCE"/>
      </patternFill>
    </fill>
    <fill>
      <patternFill patternType="solid">
        <fgColor rgb="FFE7E6E6"/>
      </patternFill>
    </fill>
    <fill>
      <patternFill patternType="solid">
        <fgColor rgb="FF2E75B6"/>
      </patternFill>
    </fill>
    <fill>
      <patternFill patternType="solid">
        <fgColor rgb="FFF2F6FB"/>
      </patternFill>
    </fill>
    <fill>
      <patternFill patternType="solid">
        <fgColor rgb="FFCFE2F3"/>
      </patternFill>
    </fill>
    <fill>
      <patternFill patternType="solid">
        <fgColor rgb="FFFFD966"/>
      </patternFill>
    </fill>
    <fill>
      <patternFill patternType="solid">
        <fgColor rgb="FFE06666"/>
      </patternFill>
    </fill>
  </fills>
  <borders count="5">
    <border>
      <left/>
      <right/>
      <top/>
      <bottom/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thin">
        <color rgb="FFBFD4EA"/>
      </bottom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/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thin">
        <color rgb="FFBFD4E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8" fillId="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0" borderId="0" xfId="0"/>
    <xf numFmtId="0" fontId="9" fillId="8" borderId="2" xfId="0" applyFont="1" applyFill="1" applyBorder="1" applyAlignment="1">
      <alignment horizontal="center" vertical="center"/>
    </xf>
    <xf numFmtId="0" fontId="0" fillId="0" borderId="3" xfId="0" applyBorder="1"/>
    <xf numFmtId="0" fontId="9" fillId="9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0" xfId="0" applyFont="1"/>
    <xf numFmtId="0" fontId="11" fillId="8" borderId="0" xfId="0" applyFont="1" applyFill="1"/>
    <xf numFmtId="0" fontId="9" fillId="3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 wrapText="1"/>
    </xf>
    <xf numFmtId="0" fontId="5" fillId="0" borderId="0" xfId="0" applyFont="1"/>
    <xf numFmtId="0" fontId="1" fillId="0" borderId="0" xfId="0" applyFont="1"/>
    <xf numFmtId="0" fontId="12" fillId="0" borderId="0" xfId="0" applyFont="1" applyAlignment="1">
      <alignment wrapText="1"/>
    </xf>
    <xf numFmtId="0" fontId="13" fillId="2" borderId="0" xfId="0" applyFont="1" applyFill="1" applyAlignment="1">
      <alignment horizontal="left" vertical="center"/>
    </xf>
  </cellXfs>
  <cellStyles count="1">
    <cellStyle name="Normal" xfId="0" builtinId="0"/>
  </cellStyles>
  <dxfs count="136"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</font>
      <fill>
        <patternFill patternType="solid">
          <fgColor rgb="FFFFD96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FFFFFF"/>
      </font>
      <fill>
        <patternFill patternType="solid">
          <fgColor rgb="FFE06666"/>
        </patternFill>
      </fill>
    </dxf>
    <dxf>
      <fill>
        <patternFill patternType="solid">
          <fgColor rgb="FFFFD966"/>
        </patternFill>
      </fill>
    </dxf>
    <dxf>
      <fill>
        <patternFill patternType="solid">
          <fgColor rgb="FFF8B6B6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C6EFCE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ologyTbl" displayName="BiologyTbl" ref="A3:F27" headerRowDxfId="135" dataDxfId="134" totalsRowDxfId="133">
  <autoFilter ref="A3:F27" xr:uid="{00000000-0009-0000-0100-000001000000}"/>
  <tableColumns count="6">
    <tableColumn id="1" xr3:uid="{00000000-0010-0000-0000-000001000000}" name="Topic" dataDxfId="132"/>
    <tableColumn id="2" xr3:uid="{00000000-0010-0000-0000-000002000000}" name="Status" dataDxfId="131"/>
    <tableColumn id="3" xr3:uid="{00000000-0010-0000-0000-000003000000}" name="Confidence" dataDxfId="130"/>
    <tableColumn id="4" xr3:uid="{00000000-0010-0000-0000-000004000000}" name="Last Revised" dataDxfId="129"/>
    <tableColumn id="5" xr3:uid="{00000000-0010-0000-0000-000005000000}" name="Next Review Date" dataDxfId="128"/>
    <tableColumn id="6" xr3:uid="{00000000-0010-0000-0000-000006000000}" name="Next Action" dataDxfId="127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mistryTbl" displayName="ChemistryTbl" ref="A3:F18">
  <autoFilter ref="A3:F18" xr:uid="{00000000-0009-0000-0100-000002000000}"/>
  <tableColumns count="6">
    <tableColumn id="1" xr3:uid="{00000000-0010-0000-0100-000001000000}" name="Topic"/>
    <tableColumn id="2" xr3:uid="{00000000-0010-0000-0100-000002000000}" name="Status"/>
    <tableColumn id="3" xr3:uid="{00000000-0010-0000-0100-000003000000}" name="Confidence"/>
    <tableColumn id="4" xr3:uid="{00000000-0010-0000-0100-000004000000}" name="Last Revised"/>
    <tableColumn id="5" xr3:uid="{00000000-0010-0000-0100-000005000000}" name="Next Review Date"/>
    <tableColumn id="6" xr3:uid="{00000000-0010-0000-0100-000006000000}" name="Next Action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ysicsTbl" displayName="PhysicsTbl" ref="A3:F18" dataDxfId="25">
  <autoFilter ref="A3:F18" xr:uid="{00000000-0009-0000-0100-000003000000}"/>
  <tableColumns count="6">
    <tableColumn id="1" xr3:uid="{00000000-0010-0000-0200-000001000000}" name="Topic" dataDxfId="31"/>
    <tableColumn id="2" xr3:uid="{00000000-0010-0000-0200-000002000000}" name="Status" dataDxfId="30"/>
    <tableColumn id="3" xr3:uid="{00000000-0010-0000-0200-000003000000}" name="Confidence" dataDxfId="29"/>
    <tableColumn id="4" xr3:uid="{00000000-0010-0000-0200-000004000000}" name="Last Revised" dataDxfId="28"/>
    <tableColumn id="5" xr3:uid="{00000000-0010-0000-0200-000005000000}" name="Next Review Date" dataDxfId="27"/>
    <tableColumn id="6" xr3:uid="{00000000-0010-0000-0200-000006000000}" name="Next Action" dataDxfId="26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thematicsTbl" displayName="MathematicsTbl" ref="A3:F18">
  <autoFilter ref="A3:F18" xr:uid="{00000000-0009-0000-0100-000004000000}"/>
  <tableColumns count="6">
    <tableColumn id="1" xr3:uid="{00000000-0010-0000-0300-000001000000}" name="Topic"/>
    <tableColumn id="2" xr3:uid="{00000000-0010-0000-0300-000002000000}" name="Status"/>
    <tableColumn id="3" xr3:uid="{00000000-0010-0000-0300-000003000000}" name="Confidence"/>
    <tableColumn id="4" xr3:uid="{00000000-0010-0000-0300-000004000000}" name="Last Revised"/>
    <tableColumn id="5" xr3:uid="{00000000-0010-0000-0300-000005000000}" name="Next Review Date"/>
    <tableColumn id="6" xr3:uid="{00000000-0010-0000-0300-000006000000}" name="Next Action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glishLanguageTbl" displayName="EnglishLanguageTbl" ref="A3:F18" dataDxfId="18">
  <autoFilter ref="A3:F18" xr:uid="{00000000-0009-0000-0100-000005000000}"/>
  <tableColumns count="6">
    <tableColumn id="1" xr3:uid="{00000000-0010-0000-0400-000001000000}" name="Topic" dataDxfId="24"/>
    <tableColumn id="2" xr3:uid="{00000000-0010-0000-0400-000002000000}" name="Status" dataDxfId="23"/>
    <tableColumn id="3" xr3:uid="{00000000-0010-0000-0400-000003000000}" name="Confidence" dataDxfId="22"/>
    <tableColumn id="4" xr3:uid="{00000000-0010-0000-0400-000004000000}" name="Last Revised" dataDxfId="21"/>
    <tableColumn id="5" xr3:uid="{00000000-0010-0000-0400-000005000000}" name="Next Review Date" dataDxfId="20"/>
    <tableColumn id="6" xr3:uid="{00000000-0010-0000-0400-000006000000}" name="Next Action" dataDxfId="19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nglishLiteratureTbl" displayName="EnglishLiteratureTbl" ref="A3:F18" headerRowDxfId="11" dataDxfId="9" totalsRowDxfId="10">
  <autoFilter ref="A3:F18" xr:uid="{00000000-0009-0000-0100-000006000000}"/>
  <tableColumns count="6">
    <tableColumn id="1" xr3:uid="{00000000-0010-0000-0500-000001000000}" name="Topic" dataDxfId="17"/>
    <tableColumn id="2" xr3:uid="{00000000-0010-0000-0500-000002000000}" name="Status" dataDxfId="16"/>
    <tableColumn id="3" xr3:uid="{00000000-0010-0000-0500-000003000000}" name="Confidence" dataDxfId="15"/>
    <tableColumn id="4" xr3:uid="{00000000-0010-0000-0500-000004000000}" name="Last Revised" dataDxfId="14"/>
    <tableColumn id="5" xr3:uid="{00000000-0010-0000-0500-000005000000}" name="Next Review Date" dataDxfId="13"/>
    <tableColumn id="6" xr3:uid="{00000000-0010-0000-0500-000006000000}" name="Next Action" dataDxfId="12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GeographyTbl" displayName="GeographyTbl" ref="A3:F18">
  <autoFilter ref="A3:F18" xr:uid="{00000000-0009-0000-0100-000007000000}"/>
  <tableColumns count="6">
    <tableColumn id="1" xr3:uid="{00000000-0010-0000-0600-000001000000}" name="Topic"/>
    <tableColumn id="2" xr3:uid="{00000000-0010-0000-0600-000002000000}" name="Status"/>
    <tableColumn id="3" xr3:uid="{00000000-0010-0000-0600-000003000000}" name="Confidence"/>
    <tableColumn id="4" xr3:uid="{00000000-0010-0000-0600-000004000000}" name="Last Revised"/>
    <tableColumn id="5" xr3:uid="{00000000-0010-0000-0600-000005000000}" name="Next Review Date"/>
    <tableColumn id="6" xr3:uid="{00000000-0010-0000-0600-000006000000}" name="Next Action"/>
  </tableColumns>
  <tableStyleInfo name="TableStyleLight1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HistoryTbl" displayName="HistoryTbl" ref="A3:F18">
  <autoFilter ref="A3:F18" xr:uid="{00000000-0009-0000-0100-000008000000}"/>
  <tableColumns count="6">
    <tableColumn id="1" xr3:uid="{00000000-0010-0000-0700-000001000000}" name="Topic"/>
    <tableColumn id="2" xr3:uid="{00000000-0010-0000-0700-000002000000}" name="Status"/>
    <tableColumn id="3" xr3:uid="{00000000-0010-0000-0700-000003000000}" name="Confidence"/>
    <tableColumn id="4" xr3:uid="{00000000-0010-0000-0700-000004000000}" name="Last Revised"/>
    <tableColumn id="5" xr3:uid="{00000000-0010-0000-0700-000005000000}" name="Next Review Date"/>
    <tableColumn id="6" xr3:uid="{00000000-0010-0000-0700-000006000000}" name="Next Action"/>
  </tableColumns>
  <tableStyleInfo name="TableStyleLight1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panishTbl" displayName="SpanishTbl" ref="A3:F18">
  <autoFilter ref="A3:F18" xr:uid="{00000000-0009-0000-0100-000009000000}"/>
  <tableColumns count="6">
    <tableColumn id="1" xr3:uid="{00000000-0010-0000-0800-000001000000}" name="Topic"/>
    <tableColumn id="2" xr3:uid="{00000000-0010-0000-0800-000002000000}" name="Status"/>
    <tableColumn id="3" xr3:uid="{00000000-0010-0000-0800-000003000000}" name="Confidence"/>
    <tableColumn id="4" xr3:uid="{00000000-0010-0000-0800-000004000000}" name="Last Revised"/>
    <tableColumn id="5" xr3:uid="{00000000-0010-0000-0800-000005000000}" name="Next Review Date"/>
    <tableColumn id="6" xr3:uid="{00000000-0010-0000-0800-000006000000}" name="Next Action"/>
  </tableColumns>
  <tableStyleInfo name="TableStyleLight1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omputerScienceTbl" displayName="ComputerScienceTbl" ref="A3:F18" headerRowDxfId="2" dataDxfId="0" totalsRowDxfId="1">
  <autoFilter ref="A3:F18" xr:uid="{00000000-0009-0000-0100-00000A000000}"/>
  <tableColumns count="6">
    <tableColumn id="1" xr3:uid="{00000000-0010-0000-0900-000001000000}" name="Topic" dataDxfId="8"/>
    <tableColumn id="2" xr3:uid="{00000000-0010-0000-0900-000002000000}" name="Status" dataDxfId="7"/>
    <tableColumn id="3" xr3:uid="{00000000-0010-0000-0900-000003000000}" name="Confidence" dataDxfId="6"/>
    <tableColumn id="4" xr3:uid="{00000000-0010-0000-0900-000004000000}" name="Last Revised" dataDxfId="5"/>
    <tableColumn id="5" xr3:uid="{00000000-0010-0000-0900-000005000000}" name="Next Review Date" dataDxfId="4"/>
    <tableColumn id="6" xr3:uid="{00000000-0010-0000-0900-000006000000}" name="Next Action" dataDxfId="3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showGridLines="0" tabSelected="1" topLeftCell="A9" workbookViewId="0">
      <selection activeCell="Q13" sqref="Q13"/>
    </sheetView>
  </sheetViews>
  <sheetFormatPr defaultRowHeight="15" x14ac:dyDescent="0.25"/>
  <cols>
    <col min="1" max="1" width="22" customWidth="1"/>
    <col min="2" max="2" width="17.85546875" customWidth="1"/>
    <col min="3" max="4" width="13" customWidth="1"/>
    <col min="5" max="5" width="16.28515625" customWidth="1"/>
    <col min="6" max="8" width="11" customWidth="1"/>
    <col min="9" max="9" width="14" customWidth="1"/>
    <col min="10" max="11" width="11" customWidth="1"/>
    <col min="16" max="16" width="13" hidden="1" customWidth="1"/>
  </cols>
  <sheetData>
    <row r="1" spans="1:16" ht="39.950000000000003" customHeight="1" x14ac:dyDescent="0.25">
      <c r="A1" s="33" t="s">
        <v>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P1" t="s">
        <v>8</v>
      </c>
    </row>
    <row r="2" spans="1:16" ht="8.1" customHeight="1" x14ac:dyDescent="0.25">
      <c r="P2" t="s">
        <v>9</v>
      </c>
    </row>
    <row r="3" spans="1:16" ht="26.1" customHeight="1" x14ac:dyDescent="0.3">
      <c r="A3" s="27" t="s">
        <v>10</v>
      </c>
      <c r="B3" s="21"/>
      <c r="C3" s="21"/>
      <c r="D3" s="21"/>
      <c r="E3" s="21"/>
      <c r="F3" s="21"/>
      <c r="P3" t="s">
        <v>11</v>
      </c>
    </row>
    <row r="4" spans="1:16" x14ac:dyDescent="0.25">
      <c r="P4" t="s">
        <v>12</v>
      </c>
    </row>
    <row r="5" spans="1:16" ht="20.100000000000001" customHeight="1" x14ac:dyDescent="0.25">
      <c r="A5" s="1" t="s">
        <v>13</v>
      </c>
      <c r="C5" s="1" t="s">
        <v>14</v>
      </c>
      <c r="E5" s="1" t="s">
        <v>15</v>
      </c>
      <c r="G5" s="1" t="s">
        <v>16</v>
      </c>
      <c r="I5" s="1" t="s">
        <v>17</v>
      </c>
      <c r="P5" t="s">
        <v>18</v>
      </c>
    </row>
    <row r="6" spans="1:16" ht="38.1" customHeight="1" x14ac:dyDescent="0.25">
      <c r="A6" s="22">
        <f ca="1">SUMPRODUCT(COUNTIFS(INDIRECT("'"&amp;Subjects&amp;"'!A4:A1000"),"?*"))</f>
        <v>81</v>
      </c>
      <c r="B6" s="23"/>
      <c r="C6" s="25">
        <f ca="1">SUMPRODUCT(COUNTIFS(INDIRECT("'"&amp;Subjects&amp;"'!A4:A1000"),"?*",INDIRECT("'"&amp;Subjects&amp;"'!B4:B1000"),"Not Started"))</f>
        <v>0</v>
      </c>
      <c r="D6" s="23"/>
      <c r="E6" s="24">
        <f ca="1">SUMPRODUCT(COUNTIFS(INDIRECT("'"&amp;Subjects&amp;"'!A4:A1000"),"?*",INDIRECT("'"&amp;Subjects&amp;"'!B4:B1000"),"In Progress"))</f>
        <v>0</v>
      </c>
      <c r="F6" s="23"/>
      <c r="G6" s="26">
        <f ca="1">SUMPRODUCT(COUNTIFS(INDIRECT("'"&amp;Subjects&amp;"'!A4:A1000"),"?*",INDIRECT("'"&amp;Subjects&amp;"'!B4:B1000"),"Completed"))</f>
        <v>0</v>
      </c>
      <c r="H6" s="23"/>
      <c r="I6" s="26">
        <f ca="1">SUMPRODUCT(COUNTIFS(INDIRECT("'"&amp;Subjects&amp;"'!A4:A1000"),"?*",INDIRECT("'"&amp;Subjects&amp;"'!C4:C1000"),"Green"))</f>
        <v>0</v>
      </c>
      <c r="J6" s="23"/>
      <c r="P6" t="s">
        <v>19</v>
      </c>
    </row>
    <row r="7" spans="1:16" x14ac:dyDescent="0.25">
      <c r="P7" t="s">
        <v>20</v>
      </c>
    </row>
    <row r="8" spans="1:16" ht="20.100000000000001" customHeight="1" x14ac:dyDescent="0.25">
      <c r="A8" s="1" t="s">
        <v>21</v>
      </c>
      <c r="C8" s="1" t="s">
        <v>22</v>
      </c>
      <c r="E8" s="1" t="s">
        <v>23</v>
      </c>
      <c r="G8" s="1" t="s">
        <v>24</v>
      </c>
      <c r="I8" s="1" t="s">
        <v>25</v>
      </c>
      <c r="P8" t="s">
        <v>26</v>
      </c>
    </row>
    <row r="9" spans="1:16" ht="38.1" customHeight="1" x14ac:dyDescent="0.25">
      <c r="A9" s="30">
        <f ca="1">SUMPRODUCT(COUNTIFS(INDIRECT("'"&amp;Subjects&amp;"'!A4:A1000"),"?*",INDIRECT("'"&amp;Subjects&amp;"'!C4:C1000"),"Amber"))</f>
        <v>0</v>
      </c>
      <c r="B9" s="23"/>
      <c r="C9" s="29">
        <f ca="1">SUMPRODUCT(COUNTIFS(INDIRECT("'"&amp;Subjects&amp;"'!A4:A1000"),"?*",INDIRECT("'"&amp;Subjects&amp;"'!C4:C1000"),"Red"))</f>
        <v>0</v>
      </c>
      <c r="D9" s="23"/>
      <c r="E9" s="25">
        <f ca="1">SUMPRODUCT(COUNTIFS(INDIRECT("'"&amp;Subjects&amp;"'!A4:A1000"),"?*",INDIRECT("'"&amp;Subjects&amp;"'!C4:C1000"),"Not Assessed"))</f>
        <v>0</v>
      </c>
      <c r="F9" s="23"/>
      <c r="G9" s="31">
        <f ca="1">SUMPRODUCT(COUNTIFS(INDIRECT("'"&amp;Subjects&amp;"'!A4:A1000"),"?*",INDIRECT("'"&amp;Subjects&amp;"'!E4:E1000"),TODAY()))</f>
        <v>0</v>
      </c>
      <c r="H9" s="23"/>
      <c r="I9" s="32">
        <f ca="1">SUMPRODUCT(COUNTIFS(INDIRECT("'"&amp;Subjects&amp;"'!A4:A1000"),"?*",INDIRECT("'"&amp;Subjects&amp;"'!E4:E1000"),"&lt;"&amp;TODAY(),INDIRECT("'"&amp;Subjects&amp;"'!E4:E1000"),"&gt;0"))</f>
        <v>0</v>
      </c>
      <c r="J9" s="23"/>
      <c r="P9" t="s">
        <v>27</v>
      </c>
    </row>
    <row r="10" spans="1:16" x14ac:dyDescent="0.25">
      <c r="P10" t="s">
        <v>28</v>
      </c>
    </row>
    <row r="11" spans="1:16" ht="9.9499999999999993" customHeight="1" x14ac:dyDescent="0.25">
      <c r="P11" t="s">
        <v>29</v>
      </c>
    </row>
    <row r="12" spans="1:16" ht="26.1" customHeight="1" x14ac:dyDescent="0.3">
      <c r="A12" s="27" t="s">
        <v>30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</row>
    <row r="13" spans="1:16" ht="26.1" customHeight="1" x14ac:dyDescent="0.25">
      <c r="A13" s="2" t="s">
        <v>31</v>
      </c>
      <c r="B13" s="2" t="s">
        <v>32</v>
      </c>
      <c r="C13" s="2" t="s">
        <v>14</v>
      </c>
      <c r="D13" s="2" t="s">
        <v>15</v>
      </c>
      <c r="E13" s="2" t="s">
        <v>16</v>
      </c>
      <c r="F13" s="2" t="s">
        <v>17</v>
      </c>
      <c r="G13" s="2" t="s">
        <v>21</v>
      </c>
      <c r="H13" s="2" t="s">
        <v>22</v>
      </c>
      <c r="I13" s="2" t="s">
        <v>23</v>
      </c>
      <c r="J13" s="2" t="s">
        <v>33</v>
      </c>
      <c r="K13" s="2" t="s">
        <v>25</v>
      </c>
    </row>
    <row r="14" spans="1:16" ht="21.95" customHeight="1" x14ac:dyDescent="0.25">
      <c r="A14" s="3" t="s">
        <v>34</v>
      </c>
      <c r="B14" s="4">
        <f ca="1">SUMPRODUCT(COUNTIFS(INDIRECT("'Biology'!A4:A1000"),"?*"))</f>
        <v>24</v>
      </c>
      <c r="C14" s="4">
        <f ca="1">SUMPRODUCT(COUNTIFS(INDIRECT("'Biology'!A4:A1000"),"?*",INDIRECT("'Biology'!B4:B1000"),"Not Started"))</f>
        <v>0</v>
      </c>
      <c r="D14" s="4">
        <f ca="1">SUMPRODUCT(COUNTIFS(INDIRECT("'Biology'!A4:A1000"),"?*",INDIRECT("'Biology'!B4:B1000"),"In Progress"))</f>
        <v>0</v>
      </c>
      <c r="E14" s="4">
        <f ca="1">SUMPRODUCT(COUNTIFS(INDIRECT("'Biology'!A4:A1000"),"?*",INDIRECT("'Biology'!B4:B1000"),"Completed"))</f>
        <v>0</v>
      </c>
      <c r="F14" s="4">
        <f ca="1">SUMPRODUCT(COUNTIFS(INDIRECT("'Biology'!A4:A1000"),"?*",INDIRECT("'Biology'!C4:C1000"),"Green"))</f>
        <v>0</v>
      </c>
      <c r="G14" s="4">
        <f ca="1">SUMPRODUCT(COUNTIFS(INDIRECT("'Biology'!A4:A1000"),"?*",INDIRECT("'Biology'!C4:C1000"),"Amber"))</f>
        <v>0</v>
      </c>
      <c r="H14" s="4">
        <f ca="1">SUMPRODUCT(COUNTIFS(INDIRECT("'Biology'!A4:A1000"),"?*",INDIRECT("'Biology'!C4:C1000"),"Red"))</f>
        <v>0</v>
      </c>
      <c r="I14" s="4">
        <f ca="1">SUMPRODUCT(COUNTIFS(INDIRECT("'Biology'!A4:A1000"),"?*",INDIRECT("'Biology'!C4:C1000"),"Not Assessed"))</f>
        <v>0</v>
      </c>
      <c r="J14" s="4">
        <f ca="1">SUMPRODUCT(COUNTIFS(INDIRECT("'Biology'!A4:A1000"),"?*",INDIRECT("'Biology'!E4:E1000"),TODAY()))</f>
        <v>0</v>
      </c>
      <c r="K14" s="4">
        <f ca="1">SUMPRODUCT(COUNTIFS(INDIRECT("'Biology'!A4:A1000"),"?*",INDIRECT("'Biology'!E4:E1000"),"&lt;"&amp;TODAY(),INDIRECT("'Biology'!E4:E1000"),"&gt;0"))</f>
        <v>0</v>
      </c>
    </row>
    <row r="15" spans="1:16" ht="21.95" customHeight="1" x14ac:dyDescent="0.25">
      <c r="A15" s="3" t="s">
        <v>0</v>
      </c>
      <c r="B15" s="4">
        <f ca="1">SUMPRODUCT(COUNTIFS(INDIRECT("'Chemistry'!A4:A1000"),"?*"))</f>
        <v>9</v>
      </c>
      <c r="C15" s="4">
        <f ca="1">SUMPRODUCT(COUNTIFS(INDIRECT("'Chemistry'!A4:A1000"),"?*",INDIRECT("'Chemistry'!B4:B1000"),"Not Started"))</f>
        <v>0</v>
      </c>
      <c r="D15" s="4">
        <f ca="1">SUMPRODUCT(COUNTIFS(INDIRECT("'Chemistry'!A4:A1000"),"?*",INDIRECT("'Chemistry'!B4:B1000"),"In Progress"))</f>
        <v>0</v>
      </c>
      <c r="E15" s="4">
        <f ca="1">SUMPRODUCT(COUNTIFS(INDIRECT("'Chemistry'!A4:A1000"),"?*",INDIRECT("'Chemistry'!B4:B1000"),"Completed"))</f>
        <v>0</v>
      </c>
      <c r="F15" s="4">
        <f ca="1">SUMPRODUCT(COUNTIFS(INDIRECT("'Chemistry'!A4:A1000"),"?*",INDIRECT("'Chemistry'!C4:C1000"),"Green"))</f>
        <v>0</v>
      </c>
      <c r="G15" s="4">
        <f ca="1">SUMPRODUCT(COUNTIFS(INDIRECT("'Chemistry'!A4:A1000"),"?*",INDIRECT("'Chemistry'!C4:C1000"),"Amber"))</f>
        <v>0</v>
      </c>
      <c r="H15" s="4">
        <f ca="1">SUMPRODUCT(COUNTIFS(INDIRECT("'Chemistry'!A4:A1000"),"?*",INDIRECT("'Chemistry'!C4:C1000"),"Red"))</f>
        <v>0</v>
      </c>
      <c r="I15" s="4">
        <f ca="1">SUMPRODUCT(COUNTIFS(INDIRECT("'Chemistry'!A4:A1000"),"?*",INDIRECT("'Chemistry'!C4:C1000"),"Not Assessed"))</f>
        <v>0</v>
      </c>
      <c r="J15" s="4">
        <f ca="1">SUMPRODUCT(COUNTIFS(INDIRECT("'Chemistry'!A4:A1000"),"?*",INDIRECT("'Chemistry'!E4:E1000"),TODAY()))</f>
        <v>0</v>
      </c>
      <c r="K15" s="4">
        <f ca="1">SUMPRODUCT(COUNTIFS(INDIRECT("'Chemistry'!A4:A1000"),"?*",INDIRECT("'Chemistry'!E4:E1000"),"&lt;"&amp;TODAY(),INDIRECT("'Chemistry'!E4:E1000"),"&gt;0"))</f>
        <v>0</v>
      </c>
    </row>
    <row r="16" spans="1:16" ht="21.95" customHeight="1" x14ac:dyDescent="0.25">
      <c r="A16" s="3" t="s">
        <v>35</v>
      </c>
      <c r="B16" s="4">
        <f ca="1">SUMPRODUCT(COUNTIFS(INDIRECT("'Physics'!A4:A1000"),"?*"))</f>
        <v>11</v>
      </c>
      <c r="C16" s="4">
        <f ca="1">SUMPRODUCT(COUNTIFS(INDIRECT("'Physics'!A4:A1000"),"?*",INDIRECT("'Physics'!B4:B1000"),"Not Started"))</f>
        <v>0</v>
      </c>
      <c r="D16" s="4">
        <f ca="1">SUMPRODUCT(COUNTIFS(INDIRECT("'Physics'!A4:A1000"),"?*",INDIRECT("'Physics'!B4:B1000"),"In Progress"))</f>
        <v>0</v>
      </c>
      <c r="E16" s="4">
        <f ca="1">SUMPRODUCT(COUNTIFS(INDIRECT("'Physics'!A4:A1000"),"?*",INDIRECT("'Physics'!B4:B1000"),"Completed"))</f>
        <v>0</v>
      </c>
      <c r="F16" s="4">
        <f ca="1">SUMPRODUCT(COUNTIFS(INDIRECT("'Physics'!A4:A1000"),"?*",INDIRECT("'Physics'!C4:C1000"),"Green"))</f>
        <v>0</v>
      </c>
      <c r="G16" s="4">
        <f ca="1">SUMPRODUCT(COUNTIFS(INDIRECT("'Physics'!A4:A1000"),"?*",INDIRECT("'Physics'!C4:C1000"),"Amber"))</f>
        <v>0</v>
      </c>
      <c r="H16" s="4">
        <f ca="1">SUMPRODUCT(COUNTIFS(INDIRECT("'Physics'!A4:A1000"),"?*",INDIRECT("'Physics'!C4:C1000"),"Red"))</f>
        <v>0</v>
      </c>
      <c r="I16" s="4">
        <f ca="1">SUMPRODUCT(COUNTIFS(INDIRECT("'Physics'!A4:A1000"),"?*",INDIRECT("'Physics'!C4:C1000"),"Not Assessed"))</f>
        <v>0</v>
      </c>
      <c r="J16" s="4">
        <f ca="1">SUMPRODUCT(COUNTIFS(INDIRECT("'Physics'!A4:A1000"),"?*",INDIRECT("'Physics'!E4:E1000"),TODAY()))</f>
        <v>0</v>
      </c>
      <c r="K16" s="4">
        <f ca="1">SUMPRODUCT(COUNTIFS(INDIRECT("'Physics'!A4:A1000"),"?*",INDIRECT("'Physics'!E4:E1000"),"&lt;"&amp;TODAY(),INDIRECT("'Physics'!E4:E1000"),"&gt;0"))</f>
        <v>0</v>
      </c>
    </row>
    <row r="17" spans="1:11" ht="21.95" customHeight="1" x14ac:dyDescent="0.25">
      <c r="A17" s="3" t="s">
        <v>36</v>
      </c>
      <c r="B17" s="4">
        <f ca="1">SUMPRODUCT(COUNTIFS(INDIRECT("'Mathematics'!A4:A1000"),"?*"))</f>
        <v>2</v>
      </c>
      <c r="C17" s="4">
        <f ca="1">SUMPRODUCT(COUNTIFS(INDIRECT("'Mathematics'!A4:A1000"),"?*",INDIRECT("'Mathematics'!B4:B1000"),"Not Started"))</f>
        <v>0</v>
      </c>
      <c r="D17" s="4">
        <f ca="1">SUMPRODUCT(COUNTIFS(INDIRECT("'Mathematics'!A4:A1000"),"?*",INDIRECT("'Mathematics'!B4:B1000"),"In Progress"))</f>
        <v>0</v>
      </c>
      <c r="E17" s="4">
        <f ca="1">SUMPRODUCT(COUNTIFS(INDIRECT("'Mathematics'!A4:A1000"),"?*",INDIRECT("'Mathematics'!B4:B1000"),"Completed"))</f>
        <v>0</v>
      </c>
      <c r="F17" s="4">
        <f ca="1">SUMPRODUCT(COUNTIFS(INDIRECT("'Mathematics'!A4:A1000"),"?*",INDIRECT("'Mathematics'!C4:C1000"),"Green"))</f>
        <v>0</v>
      </c>
      <c r="G17" s="4">
        <f ca="1">SUMPRODUCT(COUNTIFS(INDIRECT("'Mathematics'!A4:A1000"),"?*",INDIRECT("'Mathematics'!C4:C1000"),"Amber"))</f>
        <v>0</v>
      </c>
      <c r="H17" s="4">
        <f ca="1">SUMPRODUCT(COUNTIFS(INDIRECT("'Mathematics'!A4:A1000"),"?*",INDIRECT("'Mathematics'!C4:C1000"),"Red"))</f>
        <v>0</v>
      </c>
      <c r="I17" s="4">
        <f ca="1">SUMPRODUCT(COUNTIFS(INDIRECT("'Mathematics'!A4:A1000"),"?*",INDIRECT("'Mathematics'!C4:C1000"),"Not Assessed"))</f>
        <v>0</v>
      </c>
      <c r="J17" s="4">
        <f ca="1">SUMPRODUCT(COUNTIFS(INDIRECT("'Mathematics'!A4:A1000"),"?*",INDIRECT("'Mathematics'!E4:E1000"),TODAY()))</f>
        <v>0</v>
      </c>
      <c r="K17" s="4">
        <f ca="1">SUMPRODUCT(COUNTIFS(INDIRECT("'Mathematics'!A4:A1000"),"?*",INDIRECT("'Mathematics'!E4:E1000"),"&lt;"&amp;TODAY(),INDIRECT("'Mathematics'!E4:E1000"),"&gt;0"))</f>
        <v>0</v>
      </c>
    </row>
    <row r="18" spans="1:11" ht="21.95" customHeight="1" x14ac:dyDescent="0.25">
      <c r="A18" s="3" t="s">
        <v>37</v>
      </c>
      <c r="B18" s="4">
        <f ca="1">SUMPRODUCT(COUNTIFS(INDIRECT("'English Language'!A4:A1000"),"?*"))</f>
        <v>9</v>
      </c>
      <c r="C18" s="4">
        <f ca="1">SUMPRODUCT(COUNTIFS(INDIRECT("'English Language'!A4:A1000"),"?*",INDIRECT("'English Language'!B4:B1000"),"Not Started"))</f>
        <v>0</v>
      </c>
      <c r="D18" s="4">
        <f ca="1">SUMPRODUCT(COUNTIFS(INDIRECT("'English Language'!A4:A1000"),"?*",INDIRECT("'English Language'!B4:B1000"),"In Progress"))</f>
        <v>0</v>
      </c>
      <c r="E18" s="4">
        <f ca="1">SUMPRODUCT(COUNTIFS(INDIRECT("'English Language'!A4:A1000"),"?*",INDIRECT("'English Language'!B4:B1000"),"Completed"))</f>
        <v>0</v>
      </c>
      <c r="F18" s="4">
        <f ca="1">SUMPRODUCT(COUNTIFS(INDIRECT("'English Language'!A4:A1000"),"?*",INDIRECT("'English Language'!C4:C1000"),"Green"))</f>
        <v>0</v>
      </c>
      <c r="G18" s="4">
        <f ca="1">SUMPRODUCT(COUNTIFS(INDIRECT("'English Language'!A4:A1000"),"?*",INDIRECT("'English Language'!C4:C1000"),"Amber"))</f>
        <v>0</v>
      </c>
      <c r="H18" s="4">
        <f ca="1">SUMPRODUCT(COUNTIFS(INDIRECT("'English Language'!A4:A1000"),"?*",INDIRECT("'English Language'!C4:C1000"),"Red"))</f>
        <v>0</v>
      </c>
      <c r="I18" s="4">
        <f ca="1">SUMPRODUCT(COUNTIFS(INDIRECT("'English Language'!A4:A1000"),"?*",INDIRECT("'English Language'!C4:C1000"),"Not Assessed"))</f>
        <v>0</v>
      </c>
      <c r="J18" s="4">
        <f ca="1">SUMPRODUCT(COUNTIFS(INDIRECT("'English Language'!A4:A1000"),"?*",INDIRECT("'English Language'!E4:E1000"),TODAY()))</f>
        <v>0</v>
      </c>
      <c r="K18" s="4">
        <f ca="1">SUMPRODUCT(COUNTIFS(INDIRECT("'English Language'!A4:A1000"),"?*",INDIRECT("'English Language'!E4:E1000"),"&lt;"&amp;TODAY(),INDIRECT("'English Language'!E4:E1000"),"&gt;0"))</f>
        <v>0</v>
      </c>
    </row>
    <row r="19" spans="1:11" ht="21.95" customHeight="1" x14ac:dyDescent="0.25">
      <c r="A19" s="3" t="s">
        <v>38</v>
      </c>
      <c r="B19" s="4">
        <f ca="1">SUMPRODUCT(COUNTIFS(INDIRECT("'English Literature'!A4:A1000"),"?*"))</f>
        <v>6</v>
      </c>
      <c r="C19" s="4">
        <f ca="1">SUMPRODUCT(COUNTIFS(INDIRECT("'English Literature'!A4:A1000"),"?*",INDIRECT("'English Literature'!B4:B1000"),"Not Started"))</f>
        <v>0</v>
      </c>
      <c r="D19" s="4">
        <f ca="1">SUMPRODUCT(COUNTIFS(INDIRECT("'English Literature'!A4:A1000"),"?*",INDIRECT("'English Literature'!B4:B1000"),"In Progress"))</f>
        <v>0</v>
      </c>
      <c r="E19" s="4">
        <f ca="1">SUMPRODUCT(COUNTIFS(INDIRECT("'English Literature'!A4:A1000"),"?*",INDIRECT("'English Literature'!B4:B1000"),"Completed"))</f>
        <v>0</v>
      </c>
      <c r="F19" s="4">
        <f ca="1">SUMPRODUCT(COUNTIFS(INDIRECT("'English Literature'!A4:A1000"),"?*",INDIRECT("'English Literature'!C4:C1000"),"Green"))</f>
        <v>0</v>
      </c>
      <c r="G19" s="4">
        <f ca="1">SUMPRODUCT(COUNTIFS(INDIRECT("'English Literature'!A4:A1000"),"?*",INDIRECT("'English Literature'!C4:C1000"),"Amber"))</f>
        <v>0</v>
      </c>
      <c r="H19" s="4">
        <f ca="1">SUMPRODUCT(COUNTIFS(INDIRECT("'English Literature'!A4:A1000"),"?*",INDIRECT("'English Literature'!C4:C1000"),"Red"))</f>
        <v>0</v>
      </c>
      <c r="I19" s="4">
        <f ca="1">SUMPRODUCT(COUNTIFS(INDIRECT("'English Literature'!A4:A1000"),"?*",INDIRECT("'English Literature'!C4:C1000"),"Not Assessed"))</f>
        <v>0</v>
      </c>
      <c r="J19" s="4">
        <f ca="1">SUMPRODUCT(COUNTIFS(INDIRECT("'English Literature'!A4:A1000"),"?*",INDIRECT("'English Literature'!E4:E1000"),TODAY()))</f>
        <v>0</v>
      </c>
      <c r="K19" s="4">
        <f ca="1">SUMPRODUCT(COUNTIFS(INDIRECT("'English Literature'!A4:A1000"),"?*",INDIRECT("'English Literature'!E4:E1000"),"&lt;"&amp;TODAY(),INDIRECT("'English Literature'!E4:E1000"),"&gt;0"))</f>
        <v>0</v>
      </c>
    </row>
    <row r="20" spans="1:11" ht="21.95" customHeight="1" x14ac:dyDescent="0.25">
      <c r="A20" s="3" t="s">
        <v>39</v>
      </c>
      <c r="B20" s="4">
        <f ca="1">SUMPRODUCT(COUNTIFS(INDIRECT("'Geography'!A4:A1000"),"?*"))</f>
        <v>5</v>
      </c>
      <c r="C20" s="4">
        <f ca="1">SUMPRODUCT(COUNTIFS(INDIRECT("'Geography'!A4:A1000"),"?*",INDIRECT("'Geography'!B4:B1000"),"Not Started"))</f>
        <v>0</v>
      </c>
      <c r="D20" s="4">
        <f ca="1">SUMPRODUCT(COUNTIFS(INDIRECT("'Geography'!A4:A1000"),"?*",INDIRECT("'Geography'!B4:B1000"),"In Progress"))</f>
        <v>0</v>
      </c>
      <c r="E20" s="4">
        <f ca="1">SUMPRODUCT(COUNTIFS(INDIRECT("'Geography'!A4:A1000"),"?*",INDIRECT("'Geography'!B4:B1000"),"Completed"))</f>
        <v>0</v>
      </c>
      <c r="F20" s="4">
        <f ca="1">SUMPRODUCT(COUNTIFS(INDIRECT("'Geography'!A4:A1000"),"?*",INDIRECT("'Geography'!C4:C1000"),"Green"))</f>
        <v>0</v>
      </c>
      <c r="G20" s="4">
        <f ca="1">SUMPRODUCT(COUNTIFS(INDIRECT("'Geography'!A4:A1000"),"?*",INDIRECT("'Geography'!C4:C1000"),"Amber"))</f>
        <v>0</v>
      </c>
      <c r="H20" s="4">
        <f ca="1">SUMPRODUCT(COUNTIFS(INDIRECT("'Geography'!A4:A1000"),"?*",INDIRECT("'Geography'!C4:C1000"),"Red"))</f>
        <v>0</v>
      </c>
      <c r="I20" s="4">
        <f ca="1">SUMPRODUCT(COUNTIFS(INDIRECT("'Geography'!A4:A1000"),"?*",INDIRECT("'Geography'!C4:C1000"),"Not Assessed"))</f>
        <v>0</v>
      </c>
      <c r="J20" s="4">
        <f ca="1">SUMPRODUCT(COUNTIFS(INDIRECT("'Geography'!A4:A1000"),"?*",INDIRECT("'Geography'!E4:E1000"),TODAY()))</f>
        <v>0</v>
      </c>
      <c r="K20" s="4">
        <f ca="1">SUMPRODUCT(COUNTIFS(INDIRECT("'Geography'!A4:A1000"),"?*",INDIRECT("'Geography'!E4:E1000"),"&lt;"&amp;TODAY(),INDIRECT("'Geography'!E4:E1000"),"&gt;0"))</f>
        <v>0</v>
      </c>
    </row>
    <row r="21" spans="1:11" ht="21.95" customHeight="1" x14ac:dyDescent="0.25">
      <c r="A21" s="3" t="s">
        <v>40</v>
      </c>
      <c r="B21" s="4">
        <f ca="1">SUMPRODUCT(COUNTIFS(INDIRECT("'History'!A4:A1000"),"?*"))</f>
        <v>3</v>
      </c>
      <c r="C21" s="4">
        <f ca="1">SUMPRODUCT(COUNTIFS(INDIRECT("'History'!A4:A1000"),"?*",INDIRECT("'History'!B4:B1000"),"Not Started"))</f>
        <v>0</v>
      </c>
      <c r="D21" s="4">
        <f ca="1">SUMPRODUCT(COUNTIFS(INDIRECT("'History'!A4:A1000"),"?*",INDIRECT("'History'!B4:B1000"),"In Progress"))</f>
        <v>0</v>
      </c>
      <c r="E21" s="4">
        <f ca="1">SUMPRODUCT(COUNTIFS(INDIRECT("'History'!A4:A1000"),"?*",INDIRECT("'History'!B4:B1000"),"Completed"))</f>
        <v>0</v>
      </c>
      <c r="F21" s="4">
        <f ca="1">SUMPRODUCT(COUNTIFS(INDIRECT("'History'!A4:A1000"),"?*",INDIRECT("'History'!C4:C1000"),"Green"))</f>
        <v>0</v>
      </c>
      <c r="G21" s="4">
        <f ca="1">SUMPRODUCT(COUNTIFS(INDIRECT("'History'!A4:A1000"),"?*",INDIRECT("'History'!C4:C1000"),"Amber"))</f>
        <v>0</v>
      </c>
      <c r="H21" s="4">
        <f ca="1">SUMPRODUCT(COUNTIFS(INDIRECT("'History'!A4:A1000"),"?*",INDIRECT("'History'!C4:C1000"),"Red"))</f>
        <v>0</v>
      </c>
      <c r="I21" s="4">
        <f ca="1">SUMPRODUCT(COUNTIFS(INDIRECT("'History'!A4:A1000"),"?*",INDIRECT("'History'!C4:C1000"),"Not Assessed"))</f>
        <v>0</v>
      </c>
      <c r="J21" s="4">
        <f ca="1">SUMPRODUCT(COUNTIFS(INDIRECT("'History'!A4:A1000"),"?*",INDIRECT("'History'!E4:E1000"),TODAY()))</f>
        <v>0</v>
      </c>
      <c r="K21" s="4">
        <f ca="1">SUMPRODUCT(COUNTIFS(INDIRECT("'History'!A4:A1000"),"?*",INDIRECT("'History'!E4:E1000"),"&lt;"&amp;TODAY(),INDIRECT("'History'!E4:E1000"),"&gt;0"))</f>
        <v>0</v>
      </c>
    </row>
    <row r="22" spans="1:11" ht="21.95" customHeight="1" x14ac:dyDescent="0.25">
      <c r="A22" s="3" t="s">
        <v>41</v>
      </c>
      <c r="B22" s="4">
        <f ca="1">SUMPRODUCT(COUNTIFS(INDIRECT("'Spanish'!A4:A1000"),"?*"))</f>
        <v>4</v>
      </c>
      <c r="C22" s="4">
        <f ca="1">SUMPRODUCT(COUNTIFS(INDIRECT("'Spanish'!A4:A1000"),"?*",INDIRECT("'Spanish'!B4:B1000"),"Not Started"))</f>
        <v>0</v>
      </c>
      <c r="D22" s="4">
        <f ca="1">SUMPRODUCT(COUNTIFS(INDIRECT("'Spanish'!A4:A1000"),"?*",INDIRECT("'Spanish'!B4:B1000"),"In Progress"))</f>
        <v>0</v>
      </c>
      <c r="E22" s="4">
        <f ca="1">SUMPRODUCT(COUNTIFS(INDIRECT("'Spanish'!A4:A1000"),"?*",INDIRECT("'Spanish'!B4:B1000"),"Completed"))</f>
        <v>0</v>
      </c>
      <c r="F22" s="4">
        <f ca="1">SUMPRODUCT(COUNTIFS(INDIRECT("'Spanish'!A4:A1000"),"?*",INDIRECT("'Spanish'!C4:C1000"),"Green"))</f>
        <v>0</v>
      </c>
      <c r="G22" s="4">
        <f ca="1">SUMPRODUCT(COUNTIFS(INDIRECT("'Spanish'!A4:A1000"),"?*",INDIRECT("'Spanish'!C4:C1000"),"Amber"))</f>
        <v>0</v>
      </c>
      <c r="H22" s="4">
        <f ca="1">SUMPRODUCT(COUNTIFS(INDIRECT("'Spanish'!A4:A1000"),"?*",INDIRECT("'Spanish'!C4:C1000"),"Red"))</f>
        <v>0</v>
      </c>
      <c r="I22" s="4">
        <f ca="1">SUMPRODUCT(COUNTIFS(INDIRECT("'Spanish'!A4:A1000"),"?*",INDIRECT("'Spanish'!C4:C1000"),"Not Assessed"))</f>
        <v>0</v>
      </c>
      <c r="J22" s="4">
        <f ca="1">SUMPRODUCT(COUNTIFS(INDIRECT("'Spanish'!A4:A1000"),"?*",INDIRECT("'Spanish'!E4:E1000"),TODAY()))</f>
        <v>0</v>
      </c>
      <c r="K22" s="4">
        <f ca="1">SUMPRODUCT(COUNTIFS(INDIRECT("'Spanish'!A4:A1000"),"?*",INDIRECT("'Spanish'!E4:E1000"),"&lt;"&amp;TODAY(),INDIRECT("'Spanish'!E4:E1000"),"&gt;0"))</f>
        <v>0</v>
      </c>
    </row>
    <row r="23" spans="1:11" ht="21.95" customHeight="1" x14ac:dyDescent="0.25">
      <c r="A23" s="3" t="s">
        <v>42</v>
      </c>
      <c r="B23" s="4">
        <f ca="1">SUMPRODUCT(COUNTIFS(INDIRECT("'Computer Science'!A4:A1000"),"?*"))</f>
        <v>8</v>
      </c>
      <c r="C23" s="4">
        <f ca="1">SUMPRODUCT(COUNTIFS(INDIRECT("'Computer Science'!A4:A1000"),"?*",INDIRECT("'Computer Science'!B4:B1000"),"Not Started"))</f>
        <v>0</v>
      </c>
      <c r="D23" s="4">
        <f ca="1">SUMPRODUCT(COUNTIFS(INDIRECT("'Computer Science'!A4:A1000"),"?*",INDIRECT("'Computer Science'!B4:B1000"),"In Progress"))</f>
        <v>0</v>
      </c>
      <c r="E23" s="4">
        <f ca="1">SUMPRODUCT(COUNTIFS(INDIRECT("'Computer Science'!A4:A1000"),"?*",INDIRECT("'Computer Science'!B4:B1000"),"Completed"))</f>
        <v>0</v>
      </c>
      <c r="F23" s="4">
        <f ca="1">SUMPRODUCT(COUNTIFS(INDIRECT("'Computer Science'!A4:A1000"),"?*",INDIRECT("'Computer Science'!C4:C1000"),"Green"))</f>
        <v>0</v>
      </c>
      <c r="G23" s="4">
        <f ca="1">SUMPRODUCT(COUNTIFS(INDIRECT("'Computer Science'!A4:A1000"),"?*",INDIRECT("'Computer Science'!C4:C1000"),"Amber"))</f>
        <v>0</v>
      </c>
      <c r="H23" s="4">
        <f ca="1">SUMPRODUCT(COUNTIFS(INDIRECT("'Computer Science'!A4:A1000"),"?*",INDIRECT("'Computer Science'!C4:C1000"),"Red"))</f>
        <v>0</v>
      </c>
      <c r="I23" s="4">
        <f ca="1">SUMPRODUCT(COUNTIFS(INDIRECT("'Computer Science'!A4:A1000"),"?*",INDIRECT("'Computer Science'!C4:C1000"),"Not Assessed"))</f>
        <v>0</v>
      </c>
      <c r="J23" s="4">
        <f ca="1">SUMPRODUCT(COUNTIFS(INDIRECT("'Computer Science'!A4:A1000"),"?*",INDIRECT("'Computer Science'!E4:E1000"),TODAY()))</f>
        <v>0</v>
      </c>
      <c r="K23" s="4">
        <f ca="1">SUMPRODUCT(COUNTIFS(INDIRECT("'Computer Science'!A4:A1000"),"?*",INDIRECT("'Computer Science'!E4:E1000"),"&lt;"&amp;TODAY(),INDIRECT("'Computer Science'!E4:E1000"),"&gt;0"))</f>
        <v>0</v>
      </c>
    </row>
    <row r="26" spans="1:11" ht="18.75" customHeight="1" x14ac:dyDescent="0.3">
      <c r="A26" s="27" t="s">
        <v>43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spans="1:11" x14ac:dyDescent="0.25">
      <c r="A27" s="28" t="s">
        <v>44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spans="1:11" x14ac:dyDescent="0.25">
      <c r="A28" s="28" t="s">
        <v>45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spans="1:11" x14ac:dyDescent="0.25">
      <c r="A29" s="28" t="s">
        <v>46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spans="1:11" x14ac:dyDescent="0.25">
      <c r="A30" s="28" t="s">
        <v>47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</row>
  </sheetData>
  <mergeCells count="18">
    <mergeCell ref="A1:N1"/>
    <mergeCell ref="A30:K30"/>
    <mergeCell ref="A26:K26"/>
    <mergeCell ref="A3:F3"/>
    <mergeCell ref="A29:K29"/>
    <mergeCell ref="A28:K28"/>
    <mergeCell ref="G6:H6"/>
    <mergeCell ref="C9:D9"/>
    <mergeCell ref="A9:B9"/>
    <mergeCell ref="G9:H9"/>
    <mergeCell ref="E9:F9"/>
    <mergeCell ref="I9:J9"/>
    <mergeCell ref="A27:K27"/>
    <mergeCell ref="A6:B6"/>
    <mergeCell ref="E6:F6"/>
    <mergeCell ref="C6:D6"/>
    <mergeCell ref="I6:J6"/>
    <mergeCell ref="A12:K12"/>
  </mergeCells>
  <conditionalFormatting sqref="F14:F23">
    <cfRule type="cellIs" dxfId="126" priority="1" operator="greaterThan">
      <formula>0</formula>
    </cfRule>
  </conditionalFormatting>
  <conditionalFormatting sqref="G14:G23">
    <cfRule type="cellIs" dxfId="125" priority="2" operator="greaterThan">
      <formula>0</formula>
    </cfRule>
  </conditionalFormatting>
  <conditionalFormatting sqref="H14:H23">
    <cfRule type="cellIs" dxfId="124" priority="3" operator="greaterThan">
      <formula>0</formula>
    </cfRule>
  </conditionalFormatting>
  <conditionalFormatting sqref="J14:J23">
    <cfRule type="cellIs" dxfId="123" priority="4" operator="greaterThan">
      <formula>0</formula>
    </cfRule>
  </conditionalFormatting>
  <conditionalFormatting sqref="K14:K23">
    <cfRule type="cellIs" dxfId="122" priority="5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zoomScaleNormal="100" workbookViewId="0">
      <pane ySplit="3" topLeftCell="A4" activePane="bottomLeft" state="frozen"/>
      <selection pane="bottomLeft" activeCell="A6" sqref="A6"/>
    </sheetView>
  </sheetViews>
  <sheetFormatPr defaultRowHeight="15" x14ac:dyDescent="0.25"/>
  <cols>
    <col min="1" max="1" width="30.85546875" customWidth="1"/>
    <col min="2" max="2" width="14" customWidth="1"/>
    <col min="3" max="3" width="19" customWidth="1"/>
    <col min="4" max="4" width="19.28515625" customWidth="1"/>
    <col min="5" max="5" width="23.85546875" customWidth="1"/>
    <col min="6" max="6" width="38" customWidth="1"/>
  </cols>
  <sheetData>
    <row r="1" spans="1:6" ht="32.1" customHeight="1" x14ac:dyDescent="0.25">
      <c r="A1" s="34" t="s">
        <v>34</v>
      </c>
      <c r="B1" s="21"/>
      <c r="C1" s="21"/>
      <c r="D1" s="21"/>
      <c r="E1" s="21"/>
      <c r="F1" s="21"/>
    </row>
    <row r="2" spans="1:6" ht="6" customHeight="1" x14ac:dyDescent="0.25">
      <c r="A2" s="13"/>
      <c r="B2" s="13"/>
      <c r="C2" s="13"/>
      <c r="D2" s="13"/>
      <c r="E2" s="13"/>
      <c r="F2" s="13"/>
    </row>
    <row r="3" spans="1:6" ht="26.1" customHeight="1" x14ac:dyDescent="0.25">
      <c r="A3" s="14" t="s">
        <v>1</v>
      </c>
      <c r="B3" s="14" t="s">
        <v>2</v>
      </c>
      <c r="C3" s="14" t="s">
        <v>3</v>
      </c>
      <c r="D3" s="14" t="s">
        <v>4</v>
      </c>
      <c r="E3" s="14" t="s">
        <v>5</v>
      </c>
      <c r="F3" s="14" t="s">
        <v>6</v>
      </c>
    </row>
    <row r="4" spans="1:6" ht="87" customHeight="1" x14ac:dyDescent="0.25">
      <c r="A4" s="12" t="s">
        <v>48</v>
      </c>
      <c r="B4" s="15"/>
      <c r="C4" s="15"/>
      <c r="D4" s="16"/>
      <c r="E4" s="16" t="str">
        <f t="shared" ref="E4:E27" si="0">IF(OR(D4="",C4="",C4="Not Assessed"),"",D4+IF(C4="Red",RedInterval,IF(C4="Amber",AmberInterval,GreenInterval)))</f>
        <v/>
      </c>
      <c r="F4" s="12"/>
    </row>
    <row r="5" spans="1:6" ht="33.75" customHeight="1" x14ac:dyDescent="0.25">
      <c r="A5" s="12" t="s">
        <v>49</v>
      </c>
      <c r="B5" s="15"/>
      <c r="C5" s="15"/>
      <c r="D5" s="16"/>
      <c r="E5" s="16" t="str">
        <f t="shared" si="0"/>
        <v/>
      </c>
      <c r="F5" s="12"/>
    </row>
    <row r="6" spans="1:6" ht="24" customHeight="1" x14ac:dyDescent="0.25">
      <c r="A6" s="12" t="s">
        <v>50</v>
      </c>
      <c r="B6" s="15"/>
      <c r="C6" s="15"/>
      <c r="D6" s="16"/>
      <c r="E6" s="16" t="str">
        <f t="shared" si="0"/>
        <v/>
      </c>
      <c r="F6" s="12"/>
    </row>
    <row r="7" spans="1:6" ht="24" customHeight="1" x14ac:dyDescent="0.25">
      <c r="A7" s="12" t="s">
        <v>51</v>
      </c>
      <c r="B7" s="15"/>
      <c r="C7" s="15"/>
      <c r="D7" s="16"/>
      <c r="E7" s="16" t="str">
        <f t="shared" si="0"/>
        <v/>
      </c>
      <c r="F7" s="12"/>
    </row>
    <row r="8" spans="1:6" ht="24" customHeight="1" x14ac:dyDescent="0.25">
      <c r="A8" s="12" t="s">
        <v>52</v>
      </c>
      <c r="B8" s="15"/>
      <c r="C8" s="15"/>
      <c r="D8" s="16"/>
      <c r="E8" s="16" t="str">
        <f t="shared" si="0"/>
        <v/>
      </c>
      <c r="F8" s="12"/>
    </row>
    <row r="9" spans="1:6" ht="24" customHeight="1" x14ac:dyDescent="0.25">
      <c r="A9" s="12" t="s">
        <v>53</v>
      </c>
      <c r="B9" s="15"/>
      <c r="C9" s="15"/>
      <c r="D9" s="16"/>
      <c r="E9" s="16" t="str">
        <f t="shared" si="0"/>
        <v/>
      </c>
      <c r="F9" s="12"/>
    </row>
    <row r="10" spans="1:6" ht="24" customHeight="1" x14ac:dyDescent="0.25">
      <c r="A10" s="12" t="s">
        <v>54</v>
      </c>
      <c r="B10" s="15"/>
      <c r="C10" s="15"/>
      <c r="D10" s="16"/>
      <c r="E10" s="16" t="str">
        <f t="shared" si="0"/>
        <v/>
      </c>
      <c r="F10" s="12"/>
    </row>
    <row r="11" spans="1:6" ht="24" customHeight="1" x14ac:dyDescent="0.25">
      <c r="A11" s="12" t="s">
        <v>55</v>
      </c>
      <c r="B11" s="15"/>
      <c r="C11" s="15"/>
      <c r="D11" s="16"/>
      <c r="E11" s="16" t="str">
        <f t="shared" si="0"/>
        <v/>
      </c>
      <c r="F11" s="12"/>
    </row>
    <row r="12" spans="1:6" ht="24" customHeight="1" x14ac:dyDescent="0.25">
      <c r="A12" s="12" t="s">
        <v>56</v>
      </c>
      <c r="B12" s="15"/>
      <c r="C12" s="15"/>
      <c r="D12" s="16"/>
      <c r="E12" s="16" t="str">
        <f t="shared" si="0"/>
        <v/>
      </c>
      <c r="F12" s="12"/>
    </row>
    <row r="13" spans="1:6" ht="24" customHeight="1" x14ac:dyDescent="0.25">
      <c r="A13" s="12" t="s">
        <v>57</v>
      </c>
      <c r="B13" s="15"/>
      <c r="C13" s="15"/>
      <c r="D13" s="16"/>
      <c r="E13" s="16" t="str">
        <f t="shared" si="0"/>
        <v/>
      </c>
      <c r="F13" s="12"/>
    </row>
    <row r="14" spans="1:6" ht="24" customHeight="1" x14ac:dyDescent="0.25">
      <c r="A14" s="12" t="s">
        <v>58</v>
      </c>
      <c r="B14" s="15"/>
      <c r="C14" s="15"/>
      <c r="D14" s="16"/>
      <c r="E14" s="16" t="str">
        <f t="shared" si="0"/>
        <v/>
      </c>
      <c r="F14" s="12"/>
    </row>
    <row r="15" spans="1:6" ht="24" customHeight="1" x14ac:dyDescent="0.25">
      <c r="A15" s="12" t="s">
        <v>59</v>
      </c>
      <c r="B15" s="15"/>
      <c r="C15" s="15"/>
      <c r="D15" s="16"/>
      <c r="E15" s="16" t="str">
        <f t="shared" si="0"/>
        <v/>
      </c>
      <c r="F15" s="12"/>
    </row>
    <row r="16" spans="1:6" ht="24" customHeight="1" x14ac:dyDescent="0.25">
      <c r="A16" s="12" t="s">
        <v>60</v>
      </c>
      <c r="B16" s="15"/>
      <c r="C16" s="15"/>
      <c r="D16" s="16"/>
      <c r="E16" s="16" t="str">
        <f t="shared" si="0"/>
        <v/>
      </c>
      <c r="F16" s="12"/>
    </row>
    <row r="17" spans="1:6" ht="24" customHeight="1" x14ac:dyDescent="0.25">
      <c r="A17" s="12" t="s">
        <v>61</v>
      </c>
      <c r="B17" s="15"/>
      <c r="C17" s="15"/>
      <c r="D17" s="16"/>
      <c r="E17" s="16" t="str">
        <f t="shared" si="0"/>
        <v/>
      </c>
      <c r="F17" s="12"/>
    </row>
    <row r="18" spans="1:6" ht="24" customHeight="1" x14ac:dyDescent="0.25">
      <c r="A18" s="12" t="s">
        <v>62</v>
      </c>
      <c r="B18" s="15"/>
      <c r="C18" s="15"/>
      <c r="D18" s="16"/>
      <c r="E18" s="16" t="str">
        <f t="shared" si="0"/>
        <v/>
      </c>
      <c r="F18" s="12"/>
    </row>
    <row r="19" spans="1:6" ht="24" customHeight="1" x14ac:dyDescent="0.25">
      <c r="A19" s="17" t="s">
        <v>63</v>
      </c>
      <c r="B19" s="18"/>
      <c r="C19" s="18"/>
      <c r="D19" s="19"/>
      <c r="E19" s="19" t="str">
        <f t="shared" si="0"/>
        <v/>
      </c>
      <c r="F19" s="17"/>
    </row>
    <row r="20" spans="1:6" ht="24" customHeight="1" x14ac:dyDescent="0.25">
      <c r="A20" s="17" t="s">
        <v>64</v>
      </c>
      <c r="B20" s="18"/>
      <c r="C20" s="18"/>
      <c r="D20" s="19"/>
      <c r="E20" s="19" t="str">
        <f t="shared" si="0"/>
        <v/>
      </c>
      <c r="F20" s="17"/>
    </row>
    <row r="21" spans="1:6" ht="24" customHeight="1" x14ac:dyDescent="0.25">
      <c r="A21" s="17" t="s">
        <v>65</v>
      </c>
      <c r="B21" s="18"/>
      <c r="C21" s="18"/>
      <c r="D21" s="19"/>
      <c r="E21" s="19" t="str">
        <f t="shared" si="0"/>
        <v/>
      </c>
      <c r="F21" s="17"/>
    </row>
    <row r="22" spans="1:6" ht="24" customHeight="1" x14ac:dyDescent="0.25">
      <c r="A22" s="17" t="s">
        <v>66</v>
      </c>
      <c r="B22" s="18"/>
      <c r="C22" s="18"/>
      <c r="D22" s="19"/>
      <c r="E22" s="19" t="str">
        <f t="shared" si="0"/>
        <v/>
      </c>
      <c r="F22" s="17"/>
    </row>
    <row r="23" spans="1:6" ht="24" customHeight="1" x14ac:dyDescent="0.25">
      <c r="A23" s="17" t="s">
        <v>67</v>
      </c>
      <c r="B23" s="18"/>
      <c r="C23" s="18"/>
      <c r="D23" s="19"/>
      <c r="E23" s="19" t="str">
        <f t="shared" si="0"/>
        <v/>
      </c>
      <c r="F23" s="17"/>
    </row>
    <row r="24" spans="1:6" ht="24" customHeight="1" x14ac:dyDescent="0.25">
      <c r="A24" s="17" t="s">
        <v>68</v>
      </c>
      <c r="B24" s="18"/>
      <c r="C24" s="18"/>
      <c r="D24" s="19"/>
      <c r="E24" s="19" t="str">
        <f t="shared" si="0"/>
        <v/>
      </c>
      <c r="F24" s="17"/>
    </row>
    <row r="25" spans="1:6" ht="24" customHeight="1" x14ac:dyDescent="0.25">
      <c r="A25" s="17" t="s">
        <v>69</v>
      </c>
      <c r="B25" s="18"/>
      <c r="C25" s="18"/>
      <c r="D25" s="19"/>
      <c r="E25" s="19" t="str">
        <f t="shared" si="0"/>
        <v/>
      </c>
      <c r="F25" s="17"/>
    </row>
    <row r="26" spans="1:6" ht="24" customHeight="1" x14ac:dyDescent="0.25">
      <c r="A26" s="17" t="s">
        <v>70</v>
      </c>
      <c r="B26" s="18"/>
      <c r="C26" s="18"/>
      <c r="D26" s="19"/>
      <c r="E26" s="19" t="str">
        <f t="shared" si="0"/>
        <v/>
      </c>
      <c r="F26" s="17"/>
    </row>
    <row r="27" spans="1:6" ht="24" customHeight="1" x14ac:dyDescent="0.25">
      <c r="A27" s="17" t="s">
        <v>71</v>
      </c>
      <c r="B27" s="18"/>
      <c r="C27" s="18"/>
      <c r="D27" s="19"/>
      <c r="E27" s="19" t="str">
        <f t="shared" si="0"/>
        <v/>
      </c>
      <c r="F27" s="17"/>
    </row>
  </sheetData>
  <mergeCells count="1">
    <mergeCell ref="A1:F1"/>
  </mergeCells>
  <conditionalFormatting sqref="B4:B18">
    <cfRule type="cellIs" dxfId="121" priority="5" operator="equal">
      <formula>"Not Started"</formula>
    </cfRule>
    <cfRule type="cellIs" dxfId="120" priority="6" operator="equal">
      <formula>"In Progress"</formula>
    </cfRule>
    <cfRule type="cellIs" dxfId="119" priority="7" operator="equal">
      <formula>"Completed"</formula>
    </cfRule>
  </conditionalFormatting>
  <conditionalFormatting sqref="C4:C18">
    <cfRule type="cellIs" dxfId="118" priority="1" operator="equal">
      <formula>"Green"</formula>
    </cfRule>
    <cfRule type="cellIs" dxfId="117" priority="2" operator="equal">
      <formula>"Amber"</formula>
    </cfRule>
    <cfRule type="cellIs" dxfId="116" priority="3" operator="equal">
      <formula>"Red"</formula>
    </cfRule>
    <cfRule type="cellIs" dxfId="115" priority="4" operator="equal">
      <formula>"Not Assessed"</formula>
    </cfRule>
  </conditionalFormatting>
  <conditionalFormatting sqref="E4:E18">
    <cfRule type="expression" dxfId="114" priority="8">
      <formula>AND(E4&lt;&gt;"",ISNUMBER(E4),E4&lt;TODAY())</formula>
    </cfRule>
    <cfRule type="expression" dxfId="113" priority="9">
      <formula>AND(E4&lt;&gt;"",ISNUMBER(E4),E4=TODAY())</formula>
    </cfRule>
  </conditionalFormatting>
  <dataValidations count="3">
    <dataValidation type="list" allowBlank="1" sqref="B4:B18" xr:uid="{00000000-0002-0000-0100-000000000000}">
      <formula1>"Not Started,In Progress,Completed"</formula1>
    </dataValidation>
    <dataValidation type="list" allowBlank="1" sqref="C4:C18" xr:uid="{00000000-0002-0000-0100-000001000000}">
      <formula1>"Green,Amber,Red,Not Assessed"</formula1>
    </dataValidation>
    <dataValidation type="list" allowBlank="1" sqref="F4:F18" xr:uid="{00000000-0002-0000-01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workbookViewId="0">
      <pane ySplit="3" topLeftCell="A4" activePane="bottomLeft" state="frozen"/>
      <selection pane="bottomLeft" activeCell="A12" sqref="A12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20" t="s">
        <v>0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24" customHeight="1" x14ac:dyDescent="0.25">
      <c r="A4" s="5" t="s">
        <v>77</v>
      </c>
      <c r="B4" s="4"/>
      <c r="C4" s="4"/>
      <c r="D4" s="6"/>
      <c r="E4" s="6" t="str">
        <f t="shared" ref="E4:E18" si="0">IF(OR(D4="",C4="",C4="Not Assessed"),"",D4+IF(C4="Red",RedInterval,IF(C4="Amber",AmberInterval,GreenInterval)))</f>
        <v/>
      </c>
      <c r="F4" s="5"/>
    </row>
    <row r="5" spans="1:6" ht="24" customHeight="1" x14ac:dyDescent="0.25">
      <c r="A5" s="5" t="s">
        <v>78</v>
      </c>
      <c r="B5" s="4"/>
      <c r="C5" s="4"/>
      <c r="D5" s="6"/>
      <c r="E5" s="6" t="str">
        <f t="shared" si="0"/>
        <v/>
      </c>
      <c r="F5" s="5"/>
    </row>
    <row r="6" spans="1:6" ht="24" customHeight="1" x14ac:dyDescent="0.25">
      <c r="A6" s="5" t="s">
        <v>79</v>
      </c>
      <c r="B6" s="4"/>
      <c r="C6" s="4"/>
      <c r="D6" s="6"/>
      <c r="E6" s="6" t="str">
        <f t="shared" si="0"/>
        <v/>
      </c>
      <c r="F6" s="5"/>
    </row>
    <row r="7" spans="1:6" ht="24" customHeight="1" x14ac:dyDescent="0.25">
      <c r="A7" s="5" t="s">
        <v>80</v>
      </c>
      <c r="B7" s="4"/>
      <c r="C7" s="4"/>
      <c r="D7" s="6"/>
      <c r="E7" s="6" t="str">
        <f t="shared" si="0"/>
        <v/>
      </c>
      <c r="F7" s="5"/>
    </row>
    <row r="8" spans="1:6" ht="24" customHeight="1" x14ac:dyDescent="0.25">
      <c r="A8" s="5" t="s">
        <v>81</v>
      </c>
      <c r="B8" s="4"/>
      <c r="C8" s="4"/>
      <c r="D8" s="6"/>
      <c r="E8" s="6" t="str">
        <f t="shared" si="0"/>
        <v/>
      </c>
      <c r="F8" s="5"/>
    </row>
    <row r="9" spans="1:6" ht="24" customHeight="1" x14ac:dyDescent="0.25">
      <c r="A9" s="5" t="s">
        <v>82</v>
      </c>
      <c r="B9" s="4"/>
      <c r="C9" s="4"/>
      <c r="D9" s="6"/>
      <c r="E9" s="6" t="str">
        <f t="shared" si="0"/>
        <v/>
      </c>
      <c r="F9" s="5"/>
    </row>
    <row r="10" spans="1:6" ht="24" customHeight="1" x14ac:dyDescent="0.25">
      <c r="A10" s="5" t="s">
        <v>83</v>
      </c>
      <c r="B10" s="4"/>
      <c r="C10" s="4"/>
      <c r="D10" s="6"/>
      <c r="E10" s="6" t="str">
        <f t="shared" si="0"/>
        <v/>
      </c>
      <c r="F10" s="5"/>
    </row>
    <row r="11" spans="1:6" ht="24" customHeight="1" x14ac:dyDescent="0.25">
      <c r="A11" s="5" t="s">
        <v>84</v>
      </c>
      <c r="B11" s="4"/>
      <c r="C11" s="4"/>
      <c r="D11" s="6"/>
      <c r="E11" s="6" t="str">
        <f t="shared" si="0"/>
        <v/>
      </c>
      <c r="F11" s="5"/>
    </row>
    <row r="12" spans="1:6" ht="24" customHeight="1" x14ac:dyDescent="0.25">
      <c r="A12" s="5" t="s">
        <v>85</v>
      </c>
      <c r="B12" s="4"/>
      <c r="C12" s="4"/>
      <c r="D12" s="6"/>
      <c r="E12" s="6" t="str">
        <f t="shared" si="0"/>
        <v/>
      </c>
      <c r="F12" s="5"/>
    </row>
    <row r="13" spans="1:6" ht="24" customHeight="1" x14ac:dyDescent="0.25">
      <c r="A13" s="5"/>
      <c r="B13" s="4"/>
      <c r="C13" s="4"/>
      <c r="D13" s="6"/>
      <c r="E13" s="6" t="str">
        <f t="shared" si="0"/>
        <v/>
      </c>
      <c r="F13" s="5"/>
    </row>
    <row r="14" spans="1:6" ht="24" customHeight="1" x14ac:dyDescent="0.25">
      <c r="A14" s="5"/>
      <c r="B14" s="4"/>
      <c r="C14" s="4"/>
      <c r="D14" s="6"/>
      <c r="E14" s="6" t="str">
        <f t="shared" si="0"/>
        <v/>
      </c>
      <c r="F14" s="5"/>
    </row>
    <row r="15" spans="1:6" ht="24" customHeight="1" x14ac:dyDescent="0.25">
      <c r="A15" s="5"/>
      <c r="B15" s="4"/>
      <c r="C15" s="4"/>
      <c r="D15" s="6"/>
      <c r="E15" s="6" t="str">
        <f t="shared" si="0"/>
        <v/>
      </c>
      <c r="F15" s="5"/>
    </row>
    <row r="16" spans="1:6" ht="24" customHeight="1" x14ac:dyDescent="0.25">
      <c r="A16" s="5"/>
      <c r="B16" s="4"/>
      <c r="C16" s="4"/>
      <c r="D16" s="6"/>
      <c r="E16" s="6" t="str">
        <f t="shared" si="0"/>
        <v/>
      </c>
      <c r="F16" s="5"/>
    </row>
    <row r="17" spans="1:6" ht="24" customHeight="1" x14ac:dyDescent="0.25">
      <c r="A17" s="5"/>
      <c r="B17" s="4"/>
      <c r="C17" s="4"/>
      <c r="D17" s="6"/>
      <c r="E17" s="6" t="str">
        <f t="shared" si="0"/>
        <v/>
      </c>
      <c r="F17" s="5"/>
    </row>
    <row r="18" spans="1:6" ht="24" customHeight="1" x14ac:dyDescent="0.25">
      <c r="A18" s="5"/>
      <c r="B18" s="4"/>
      <c r="C18" s="4"/>
      <c r="D18" s="6"/>
      <c r="E18" s="6" t="str">
        <f t="shared" si="0"/>
        <v/>
      </c>
      <c r="F18" s="5"/>
    </row>
  </sheetData>
  <mergeCells count="1">
    <mergeCell ref="A1:F1"/>
  </mergeCells>
  <conditionalFormatting sqref="B4:B18">
    <cfRule type="cellIs" dxfId="112" priority="5" operator="equal">
      <formula>"Not Started"</formula>
    </cfRule>
    <cfRule type="cellIs" dxfId="111" priority="6" operator="equal">
      <formula>"In Progress"</formula>
    </cfRule>
    <cfRule type="cellIs" dxfId="110" priority="7" operator="equal">
      <formula>"Completed"</formula>
    </cfRule>
  </conditionalFormatting>
  <conditionalFormatting sqref="C4:C18">
    <cfRule type="cellIs" dxfId="109" priority="1" operator="equal">
      <formula>"Green"</formula>
    </cfRule>
    <cfRule type="cellIs" dxfId="108" priority="2" operator="equal">
      <formula>"Amber"</formula>
    </cfRule>
    <cfRule type="cellIs" dxfId="107" priority="3" operator="equal">
      <formula>"Red"</formula>
    </cfRule>
    <cfRule type="cellIs" dxfId="106" priority="4" operator="equal">
      <formula>"Not Assessed"</formula>
    </cfRule>
  </conditionalFormatting>
  <conditionalFormatting sqref="E4:E18">
    <cfRule type="expression" dxfId="105" priority="8">
      <formula>AND(E4&lt;&gt;"",ISNUMBER(E4),E4&lt;TODAY())</formula>
    </cfRule>
    <cfRule type="expression" dxfId="104" priority="9">
      <formula>AND(E4&lt;&gt;"",ISNUMBER(E4),E4=TODAY())</formula>
    </cfRule>
  </conditionalFormatting>
  <dataValidations count="3">
    <dataValidation type="list" allowBlank="1" sqref="B4:B18" xr:uid="{00000000-0002-0000-0200-000000000000}">
      <formula1>"Not Started,In Progress,Completed"</formula1>
    </dataValidation>
    <dataValidation type="list" allowBlank="1" sqref="C4:C18" xr:uid="{00000000-0002-0000-0200-000001000000}">
      <formula1>"Green,Amber,Red,Not Assessed"</formula1>
    </dataValidation>
    <dataValidation type="list" allowBlank="1" sqref="F4:F18" xr:uid="{00000000-0002-0000-02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showGridLines="0" workbookViewId="0">
      <pane ySplit="3" topLeftCell="A5" activePane="bottomLeft" state="frozen"/>
      <selection pane="bottomLeft" activeCell="A14" sqref="A14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20" t="s">
        <v>35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44.25" customHeight="1" x14ac:dyDescent="0.25">
      <c r="A4" s="12" t="s">
        <v>86</v>
      </c>
      <c r="B4" s="15"/>
      <c r="C4" s="15"/>
      <c r="D4" s="16"/>
      <c r="E4" s="16" t="str">
        <f t="shared" ref="E4:E18" si="0">IF(OR(D4="",C4="",C4="Not Assessed"),"",D4+IF(C4="Red",RedInterval,IF(C4="Amber",AmberInterval,GreenInterval)))</f>
        <v/>
      </c>
      <c r="F4" s="12"/>
    </row>
    <row r="5" spans="1:6" ht="50.25" customHeight="1" x14ac:dyDescent="0.25">
      <c r="A5" s="12" t="s">
        <v>87</v>
      </c>
      <c r="B5" s="15"/>
      <c r="C5" s="15"/>
      <c r="D5" s="16"/>
      <c r="E5" s="16" t="str">
        <f t="shared" si="0"/>
        <v/>
      </c>
      <c r="F5" s="12"/>
    </row>
    <row r="6" spans="1:6" ht="36.75" customHeight="1" x14ac:dyDescent="0.3">
      <c r="A6" s="37" t="s">
        <v>88</v>
      </c>
      <c r="B6" s="15"/>
      <c r="C6" s="15"/>
      <c r="D6" s="16"/>
      <c r="E6" s="16" t="str">
        <f t="shared" si="0"/>
        <v/>
      </c>
      <c r="F6" s="12"/>
    </row>
    <row r="7" spans="1:6" ht="37.5" customHeight="1" x14ac:dyDescent="0.25">
      <c r="A7" s="12" t="s">
        <v>89</v>
      </c>
      <c r="B7" s="15"/>
      <c r="C7" s="15"/>
      <c r="D7" s="16"/>
      <c r="E7" s="16" t="str">
        <f t="shared" si="0"/>
        <v/>
      </c>
      <c r="F7" s="12"/>
    </row>
    <row r="8" spans="1:6" ht="30" customHeight="1" x14ac:dyDescent="0.25">
      <c r="A8" s="12" t="s">
        <v>90</v>
      </c>
      <c r="B8" s="15"/>
      <c r="C8" s="15"/>
      <c r="D8" s="16"/>
      <c r="E8" s="16" t="str">
        <f t="shared" si="0"/>
        <v/>
      </c>
      <c r="F8" s="12"/>
    </row>
    <row r="9" spans="1:6" ht="37.5" customHeight="1" x14ac:dyDescent="0.25">
      <c r="A9" s="12" t="s">
        <v>91</v>
      </c>
      <c r="B9" s="15"/>
      <c r="C9" s="15"/>
      <c r="D9" s="16"/>
      <c r="E9" s="16" t="str">
        <f t="shared" si="0"/>
        <v/>
      </c>
      <c r="F9" s="12"/>
    </row>
    <row r="10" spans="1:6" ht="33.75" customHeight="1" x14ac:dyDescent="0.25">
      <c r="A10" s="12" t="s">
        <v>92</v>
      </c>
      <c r="B10" s="15"/>
      <c r="C10" s="15"/>
      <c r="D10" s="16"/>
      <c r="E10" s="16" t="str">
        <f t="shared" si="0"/>
        <v/>
      </c>
      <c r="F10" s="12"/>
    </row>
    <row r="11" spans="1:6" ht="35.25" customHeight="1" x14ac:dyDescent="0.25">
      <c r="A11" s="12" t="s">
        <v>93</v>
      </c>
      <c r="B11" s="15"/>
      <c r="C11" s="15"/>
      <c r="D11" s="16"/>
      <c r="E11" s="16" t="str">
        <f t="shared" si="0"/>
        <v/>
      </c>
      <c r="F11" s="12"/>
    </row>
    <row r="12" spans="1:6" ht="38.25" customHeight="1" x14ac:dyDescent="0.25">
      <c r="A12" s="12" t="s">
        <v>94</v>
      </c>
      <c r="B12" s="15"/>
      <c r="C12" s="15"/>
      <c r="D12" s="16"/>
      <c r="E12" s="16" t="str">
        <f t="shared" si="0"/>
        <v/>
      </c>
      <c r="F12" s="12"/>
    </row>
    <row r="13" spans="1:6" ht="30.75" customHeight="1" x14ac:dyDescent="0.25">
      <c r="A13" s="12" t="s">
        <v>95</v>
      </c>
      <c r="B13" s="15"/>
      <c r="C13" s="15"/>
      <c r="D13" s="16"/>
      <c r="E13" s="16" t="str">
        <f t="shared" si="0"/>
        <v/>
      </c>
      <c r="F13" s="12"/>
    </row>
    <row r="14" spans="1:6" ht="33.75" customHeight="1" x14ac:dyDescent="0.25">
      <c r="A14" s="12" t="s">
        <v>96</v>
      </c>
      <c r="B14" s="15"/>
      <c r="C14" s="15"/>
      <c r="D14" s="16"/>
      <c r="E14" s="16" t="str">
        <f t="shared" si="0"/>
        <v/>
      </c>
      <c r="F14" s="12"/>
    </row>
    <row r="15" spans="1:6" ht="24" customHeight="1" x14ac:dyDescent="0.25">
      <c r="A15" s="12"/>
      <c r="B15" s="15"/>
      <c r="C15" s="15"/>
      <c r="D15" s="16"/>
      <c r="E15" s="16" t="str">
        <f t="shared" si="0"/>
        <v/>
      </c>
      <c r="F15" s="12"/>
    </row>
    <row r="16" spans="1:6" ht="24" customHeight="1" x14ac:dyDescent="0.25">
      <c r="A16" s="12"/>
      <c r="B16" s="15"/>
      <c r="C16" s="15"/>
      <c r="D16" s="16"/>
      <c r="E16" s="16" t="str">
        <f t="shared" si="0"/>
        <v/>
      </c>
      <c r="F16" s="12"/>
    </row>
    <row r="17" spans="1:6" ht="24" customHeight="1" x14ac:dyDescent="0.25">
      <c r="A17" s="12"/>
      <c r="B17" s="15"/>
      <c r="C17" s="15"/>
      <c r="D17" s="16"/>
      <c r="E17" s="16" t="str">
        <f t="shared" si="0"/>
        <v/>
      </c>
      <c r="F17" s="12"/>
    </row>
    <row r="18" spans="1:6" ht="24" customHeight="1" x14ac:dyDescent="0.25">
      <c r="A18" s="12"/>
      <c r="B18" s="15"/>
      <c r="C18" s="15"/>
      <c r="D18" s="16"/>
      <c r="E18" s="16" t="str">
        <f t="shared" si="0"/>
        <v/>
      </c>
      <c r="F18" s="12"/>
    </row>
  </sheetData>
  <mergeCells count="1">
    <mergeCell ref="A1:F1"/>
  </mergeCells>
  <conditionalFormatting sqref="B4:B18">
    <cfRule type="cellIs" dxfId="103" priority="5" operator="equal">
      <formula>"Not Started"</formula>
    </cfRule>
    <cfRule type="cellIs" dxfId="102" priority="6" operator="equal">
      <formula>"In Progress"</formula>
    </cfRule>
    <cfRule type="cellIs" dxfId="101" priority="7" operator="equal">
      <formula>"Completed"</formula>
    </cfRule>
  </conditionalFormatting>
  <conditionalFormatting sqref="C4:C18">
    <cfRule type="cellIs" dxfId="100" priority="1" operator="equal">
      <formula>"Green"</formula>
    </cfRule>
    <cfRule type="cellIs" dxfId="99" priority="2" operator="equal">
      <formula>"Amber"</formula>
    </cfRule>
    <cfRule type="cellIs" dxfId="98" priority="3" operator="equal">
      <formula>"Red"</formula>
    </cfRule>
    <cfRule type="cellIs" dxfId="97" priority="4" operator="equal">
      <formula>"Not Assessed"</formula>
    </cfRule>
  </conditionalFormatting>
  <conditionalFormatting sqref="E4:E18">
    <cfRule type="expression" dxfId="96" priority="8">
      <formula>AND(E4&lt;&gt;"",ISNUMBER(E4),E4&lt;TODAY())</formula>
    </cfRule>
    <cfRule type="expression" dxfId="95" priority="9">
      <formula>AND(E4&lt;&gt;"",ISNUMBER(E4),E4=TODAY())</formula>
    </cfRule>
  </conditionalFormatting>
  <dataValidations count="3">
    <dataValidation type="list" allowBlank="1" sqref="B4:B18" xr:uid="{00000000-0002-0000-0300-000000000000}">
      <formula1>"Not Started,In Progress,Completed"</formula1>
    </dataValidation>
    <dataValidation type="list" allowBlank="1" sqref="C4:C18" xr:uid="{00000000-0002-0000-0300-000001000000}">
      <formula1>"Green,Amber,Red,Not Assessed"</formula1>
    </dataValidation>
    <dataValidation type="list" allowBlank="1" sqref="F4:F18" xr:uid="{00000000-0002-0000-03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8"/>
  <sheetViews>
    <sheetView showGridLines="0" workbookViewId="0">
      <pane ySplit="3" topLeftCell="A4" activePane="bottomLeft" state="frozen"/>
      <selection pane="bottomLeft" activeCell="A5" sqref="A5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20" t="s">
        <v>36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24" customHeight="1" x14ac:dyDescent="0.25">
      <c r="A4" s="5" t="s">
        <v>132</v>
      </c>
      <c r="B4" s="4"/>
      <c r="C4" s="4"/>
      <c r="D4" s="6"/>
      <c r="E4" s="6" t="str">
        <f t="shared" ref="E4:E18" si="0">IF(OR(D4="",C4="",C4="Not Assessed"),"",D4+IF(C4="Red",RedInterval,IF(C4="Amber",AmberInterval,GreenInterval)))</f>
        <v/>
      </c>
      <c r="F4" s="5"/>
    </row>
    <row r="5" spans="1:6" ht="24" customHeight="1" x14ac:dyDescent="0.25">
      <c r="A5" s="5" t="s">
        <v>133</v>
      </c>
      <c r="B5" s="4"/>
      <c r="C5" s="4"/>
      <c r="D5" s="6"/>
      <c r="E5" s="6" t="str">
        <f t="shared" si="0"/>
        <v/>
      </c>
      <c r="F5" s="5"/>
    </row>
    <row r="6" spans="1:6" ht="24" customHeight="1" x14ac:dyDescent="0.25">
      <c r="A6" s="5"/>
      <c r="B6" s="4"/>
      <c r="C6" s="4"/>
      <c r="D6" s="6"/>
      <c r="E6" s="6" t="str">
        <f t="shared" si="0"/>
        <v/>
      </c>
      <c r="F6" s="5"/>
    </row>
    <row r="7" spans="1:6" ht="24" customHeight="1" x14ac:dyDescent="0.25">
      <c r="A7" s="5"/>
      <c r="B7" s="4"/>
      <c r="C7" s="4"/>
      <c r="D7" s="6"/>
      <c r="E7" s="6" t="str">
        <f t="shared" si="0"/>
        <v/>
      </c>
      <c r="F7" s="5"/>
    </row>
    <row r="8" spans="1:6" ht="24" customHeight="1" x14ac:dyDescent="0.25">
      <c r="A8" s="5"/>
      <c r="B8" s="4"/>
      <c r="C8" s="4"/>
      <c r="D8" s="6"/>
      <c r="E8" s="6" t="str">
        <f t="shared" si="0"/>
        <v/>
      </c>
      <c r="F8" s="5"/>
    </row>
    <row r="9" spans="1:6" ht="24" customHeight="1" x14ac:dyDescent="0.25">
      <c r="A9" s="5"/>
      <c r="B9" s="4"/>
      <c r="C9" s="4"/>
      <c r="D9" s="6"/>
      <c r="E9" s="6" t="str">
        <f t="shared" si="0"/>
        <v/>
      </c>
      <c r="F9" s="5"/>
    </row>
    <row r="10" spans="1:6" ht="24" customHeight="1" x14ac:dyDescent="0.25">
      <c r="A10" s="5"/>
      <c r="B10" s="4"/>
      <c r="C10" s="4"/>
      <c r="D10" s="6"/>
      <c r="E10" s="6" t="str">
        <f t="shared" si="0"/>
        <v/>
      </c>
      <c r="F10" s="5"/>
    </row>
    <row r="11" spans="1:6" ht="24" customHeight="1" x14ac:dyDescent="0.25">
      <c r="A11" s="5"/>
      <c r="B11" s="4"/>
      <c r="C11" s="4"/>
      <c r="D11" s="6"/>
      <c r="E11" s="6" t="str">
        <f t="shared" si="0"/>
        <v/>
      </c>
      <c r="F11" s="5"/>
    </row>
    <row r="12" spans="1:6" ht="24" customHeight="1" x14ac:dyDescent="0.25">
      <c r="A12" s="5"/>
      <c r="B12" s="4"/>
      <c r="C12" s="4"/>
      <c r="D12" s="6"/>
      <c r="E12" s="6" t="str">
        <f t="shared" si="0"/>
        <v/>
      </c>
      <c r="F12" s="5"/>
    </row>
    <row r="13" spans="1:6" ht="24" customHeight="1" x14ac:dyDescent="0.25">
      <c r="A13" s="5"/>
      <c r="B13" s="4"/>
      <c r="C13" s="4"/>
      <c r="D13" s="6"/>
      <c r="E13" s="6" t="str">
        <f t="shared" si="0"/>
        <v/>
      </c>
      <c r="F13" s="5"/>
    </row>
    <row r="14" spans="1:6" ht="24" customHeight="1" x14ac:dyDescent="0.25">
      <c r="A14" s="5"/>
      <c r="B14" s="4"/>
      <c r="C14" s="4"/>
      <c r="D14" s="6"/>
      <c r="E14" s="6" t="str">
        <f t="shared" si="0"/>
        <v/>
      </c>
      <c r="F14" s="5"/>
    </row>
    <row r="15" spans="1:6" ht="24" customHeight="1" x14ac:dyDescent="0.25">
      <c r="A15" s="5"/>
      <c r="B15" s="4"/>
      <c r="C15" s="4"/>
      <c r="D15" s="6"/>
      <c r="E15" s="6" t="str">
        <f t="shared" si="0"/>
        <v/>
      </c>
      <c r="F15" s="5"/>
    </row>
    <row r="16" spans="1:6" ht="24" customHeight="1" x14ac:dyDescent="0.25">
      <c r="A16" s="5"/>
      <c r="B16" s="4"/>
      <c r="C16" s="4"/>
      <c r="D16" s="6"/>
      <c r="E16" s="6" t="str">
        <f t="shared" si="0"/>
        <v/>
      </c>
      <c r="F16" s="5"/>
    </row>
    <row r="17" spans="1:6" ht="24" customHeight="1" x14ac:dyDescent="0.25">
      <c r="A17" s="5"/>
      <c r="B17" s="4"/>
      <c r="C17" s="4"/>
      <c r="D17" s="6"/>
      <c r="E17" s="6" t="str">
        <f t="shared" si="0"/>
        <v/>
      </c>
      <c r="F17" s="5"/>
    </row>
    <row r="18" spans="1:6" ht="24" customHeight="1" x14ac:dyDescent="0.25">
      <c r="A18" s="5"/>
      <c r="B18" s="4"/>
      <c r="C18" s="4"/>
      <c r="D18" s="6"/>
      <c r="E18" s="6" t="str">
        <f t="shared" si="0"/>
        <v/>
      </c>
      <c r="F18" s="5"/>
    </row>
  </sheetData>
  <mergeCells count="1">
    <mergeCell ref="A1:F1"/>
  </mergeCells>
  <conditionalFormatting sqref="B4:B18">
    <cfRule type="cellIs" dxfId="94" priority="5" operator="equal">
      <formula>"Not Started"</formula>
    </cfRule>
    <cfRule type="cellIs" dxfId="93" priority="6" operator="equal">
      <formula>"In Progress"</formula>
    </cfRule>
    <cfRule type="cellIs" dxfId="92" priority="7" operator="equal">
      <formula>"Completed"</formula>
    </cfRule>
  </conditionalFormatting>
  <conditionalFormatting sqref="C4:C18">
    <cfRule type="cellIs" dxfId="91" priority="1" operator="equal">
      <formula>"Green"</formula>
    </cfRule>
    <cfRule type="cellIs" dxfId="90" priority="2" operator="equal">
      <formula>"Amber"</formula>
    </cfRule>
    <cfRule type="cellIs" dxfId="89" priority="3" operator="equal">
      <formula>"Red"</formula>
    </cfRule>
    <cfRule type="cellIs" dxfId="88" priority="4" operator="equal">
      <formula>"Not Assessed"</formula>
    </cfRule>
  </conditionalFormatting>
  <conditionalFormatting sqref="E4:E18">
    <cfRule type="expression" dxfId="87" priority="8">
      <formula>AND(E4&lt;&gt;"",ISNUMBER(E4),E4&lt;TODAY())</formula>
    </cfRule>
    <cfRule type="expression" dxfId="86" priority="9">
      <formula>AND(E4&lt;&gt;"",ISNUMBER(E4),E4=TODAY())</formula>
    </cfRule>
  </conditionalFormatting>
  <dataValidations count="3">
    <dataValidation type="list" allowBlank="1" sqref="B4:B18" xr:uid="{00000000-0002-0000-0400-000000000000}">
      <formula1>"Not Started,In Progress,Completed"</formula1>
    </dataValidation>
    <dataValidation type="list" allowBlank="1" sqref="C4:C18" xr:uid="{00000000-0002-0000-0400-000001000000}">
      <formula1>"Green,Amber,Red,Not Assessed"</formula1>
    </dataValidation>
    <dataValidation type="list" allowBlank="1" sqref="F4:F18" xr:uid="{00000000-0002-0000-04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showGridLines="0" zoomScale="85" zoomScaleNormal="85" workbookViewId="0">
      <pane ySplit="3" topLeftCell="A5" activePane="bottomLeft" state="frozen"/>
      <selection pane="bottomLeft" activeCell="A12" sqref="A12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38" t="s">
        <v>37</v>
      </c>
      <c r="B1" s="21"/>
      <c r="C1" s="21"/>
      <c r="D1" s="21"/>
      <c r="E1" s="21"/>
      <c r="F1" s="21"/>
    </row>
    <row r="3" spans="1:6" ht="26.1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30" x14ac:dyDescent="0.25">
      <c r="A4" s="12" t="s">
        <v>97</v>
      </c>
      <c r="B4" s="15"/>
      <c r="C4" s="15"/>
      <c r="D4" s="16"/>
      <c r="E4" s="16" t="str">
        <f t="shared" ref="E4:E18" si="0">IF(OR(D4="",C4="",C4="Not Assessed"),"",D4+IF(C4="Red",RedInterval,IF(C4="Amber",AmberInterval,GreenInterval)))</f>
        <v/>
      </c>
      <c r="F4" s="12"/>
    </row>
    <row r="5" spans="1:6" ht="57.75" customHeight="1" x14ac:dyDescent="0.25">
      <c r="A5" s="12" t="s">
        <v>102</v>
      </c>
      <c r="B5" s="15"/>
      <c r="C5" s="15"/>
      <c r="D5" s="16"/>
      <c r="E5" s="16" t="str">
        <f t="shared" si="0"/>
        <v/>
      </c>
      <c r="F5" s="12"/>
    </row>
    <row r="6" spans="1:6" ht="48" customHeight="1" x14ac:dyDescent="0.25">
      <c r="A6" s="12" t="s">
        <v>98</v>
      </c>
      <c r="B6" s="15"/>
      <c r="C6" s="15"/>
      <c r="D6" s="16"/>
      <c r="E6" s="16" t="str">
        <f t="shared" si="0"/>
        <v/>
      </c>
      <c r="F6" s="12"/>
    </row>
    <row r="7" spans="1:6" ht="42.75" customHeight="1" x14ac:dyDescent="0.25">
      <c r="A7" s="12" t="s">
        <v>99</v>
      </c>
      <c r="B7" s="15"/>
      <c r="C7" s="15"/>
      <c r="D7" s="16"/>
      <c r="E7" s="16" t="str">
        <f t="shared" si="0"/>
        <v/>
      </c>
      <c r="F7" s="12"/>
    </row>
    <row r="8" spans="1:6" ht="43.5" customHeight="1" x14ac:dyDescent="0.25">
      <c r="A8" s="12" t="s">
        <v>100</v>
      </c>
      <c r="B8" s="15"/>
      <c r="C8" s="15"/>
      <c r="D8" s="16"/>
      <c r="E8" s="16" t="str">
        <f t="shared" si="0"/>
        <v/>
      </c>
      <c r="F8" s="12"/>
    </row>
    <row r="9" spans="1:6" ht="54.75" customHeight="1" x14ac:dyDescent="0.25">
      <c r="A9" s="12" t="s">
        <v>101</v>
      </c>
      <c r="B9" s="15"/>
      <c r="C9" s="15"/>
      <c r="D9" s="16"/>
      <c r="E9" s="16" t="str">
        <f t="shared" si="0"/>
        <v/>
      </c>
      <c r="F9" s="12"/>
    </row>
    <row r="10" spans="1:6" ht="62.25" customHeight="1" x14ac:dyDescent="0.25">
      <c r="A10" s="12" t="s">
        <v>103</v>
      </c>
      <c r="B10" s="15"/>
      <c r="C10" s="15"/>
      <c r="D10" s="16"/>
      <c r="E10" s="16" t="str">
        <f t="shared" si="0"/>
        <v/>
      </c>
      <c r="F10" s="12"/>
    </row>
    <row r="11" spans="1:6" ht="36" customHeight="1" x14ac:dyDescent="0.25">
      <c r="A11" s="12" t="s">
        <v>104</v>
      </c>
      <c r="B11" s="15"/>
      <c r="C11" s="15"/>
      <c r="D11" s="16"/>
      <c r="E11" s="16" t="str">
        <f t="shared" si="0"/>
        <v/>
      </c>
      <c r="F11" s="12"/>
    </row>
    <row r="12" spans="1:6" ht="39.75" customHeight="1" x14ac:dyDescent="0.25">
      <c r="A12" s="12" t="s">
        <v>105</v>
      </c>
      <c r="B12" s="15"/>
      <c r="C12" s="15"/>
      <c r="D12" s="16"/>
      <c r="E12" s="16" t="str">
        <f t="shared" si="0"/>
        <v/>
      </c>
      <c r="F12" s="12"/>
    </row>
    <row r="13" spans="1:6" ht="42" customHeight="1" x14ac:dyDescent="0.25">
      <c r="A13" s="12"/>
      <c r="B13" s="15"/>
      <c r="C13" s="15"/>
      <c r="D13" s="16"/>
      <c r="E13" s="16" t="str">
        <f t="shared" si="0"/>
        <v/>
      </c>
      <c r="F13" s="12"/>
    </row>
    <row r="14" spans="1:6" ht="24" customHeight="1" x14ac:dyDescent="0.25">
      <c r="A14" s="12"/>
      <c r="B14" s="15"/>
      <c r="C14" s="15"/>
      <c r="D14" s="16"/>
      <c r="E14" s="16" t="str">
        <f t="shared" si="0"/>
        <v/>
      </c>
      <c r="F14" s="12"/>
    </row>
    <row r="15" spans="1:6" ht="24" customHeight="1" x14ac:dyDescent="0.25">
      <c r="A15" s="12"/>
      <c r="B15" s="15"/>
      <c r="C15" s="15"/>
      <c r="D15" s="16"/>
      <c r="E15" s="16" t="str">
        <f t="shared" si="0"/>
        <v/>
      </c>
      <c r="F15" s="12"/>
    </row>
    <row r="16" spans="1:6" ht="24" customHeight="1" x14ac:dyDescent="0.25">
      <c r="A16" s="12"/>
      <c r="B16" s="15"/>
      <c r="C16" s="15"/>
      <c r="D16" s="16"/>
      <c r="E16" s="16" t="str">
        <f t="shared" si="0"/>
        <v/>
      </c>
      <c r="F16" s="12"/>
    </row>
    <row r="17" spans="1:6" ht="24" customHeight="1" x14ac:dyDescent="0.25">
      <c r="A17" s="12"/>
      <c r="B17" s="15"/>
      <c r="C17" s="15"/>
      <c r="D17" s="16"/>
      <c r="E17" s="16" t="str">
        <f t="shared" si="0"/>
        <v/>
      </c>
      <c r="F17" s="12"/>
    </row>
    <row r="18" spans="1:6" ht="24" customHeight="1" x14ac:dyDescent="0.25">
      <c r="A18" s="12"/>
      <c r="B18" s="15"/>
      <c r="C18" s="15"/>
      <c r="D18" s="16"/>
      <c r="E18" s="16" t="str">
        <f t="shared" si="0"/>
        <v/>
      </c>
      <c r="F18" s="12"/>
    </row>
  </sheetData>
  <mergeCells count="1">
    <mergeCell ref="A1:F1"/>
  </mergeCells>
  <conditionalFormatting sqref="B4:B18">
    <cfRule type="cellIs" dxfId="85" priority="5" operator="equal">
      <formula>"Not Started"</formula>
    </cfRule>
    <cfRule type="cellIs" dxfId="84" priority="6" operator="equal">
      <formula>"In Progress"</formula>
    </cfRule>
    <cfRule type="cellIs" dxfId="83" priority="7" operator="equal">
      <formula>"Completed"</formula>
    </cfRule>
  </conditionalFormatting>
  <conditionalFormatting sqref="C4:C18">
    <cfRule type="cellIs" dxfId="82" priority="1" operator="equal">
      <formula>"Green"</formula>
    </cfRule>
    <cfRule type="cellIs" dxfId="81" priority="2" operator="equal">
      <formula>"Amber"</formula>
    </cfRule>
    <cfRule type="cellIs" dxfId="80" priority="3" operator="equal">
      <formula>"Red"</formula>
    </cfRule>
    <cfRule type="cellIs" dxfId="79" priority="4" operator="equal">
      <formula>"Not Assessed"</formula>
    </cfRule>
  </conditionalFormatting>
  <conditionalFormatting sqref="E4:E18">
    <cfRule type="expression" dxfId="78" priority="8">
      <formula>AND(E4&lt;&gt;"",ISNUMBER(E4),E4&lt;TODAY())</formula>
    </cfRule>
    <cfRule type="expression" dxfId="77" priority="9">
      <formula>AND(E4&lt;&gt;"",ISNUMBER(E4),E4=TODAY())</formula>
    </cfRule>
  </conditionalFormatting>
  <dataValidations count="3">
    <dataValidation type="list" allowBlank="1" sqref="B4:B18" xr:uid="{00000000-0002-0000-0500-000000000000}">
      <formula1>"Not Started,In Progress,Completed"</formula1>
    </dataValidation>
    <dataValidation type="list" allowBlank="1" sqref="C4:C18" xr:uid="{00000000-0002-0000-0500-000001000000}">
      <formula1>"Green,Amber,Red,Not Assessed"</formula1>
    </dataValidation>
    <dataValidation type="list" allowBlank="1" sqref="F4:F18" xr:uid="{00000000-0002-0000-05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8"/>
  <sheetViews>
    <sheetView showGridLines="0" zoomScale="115" zoomScaleNormal="115" workbookViewId="0">
      <pane ySplit="3" topLeftCell="A5" activePane="bottomLeft" state="frozen"/>
      <selection pane="bottomLeft" activeCell="A9" sqref="A9:XFD9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20" t="s">
        <v>38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14" t="s">
        <v>1</v>
      </c>
      <c r="B3" s="14" t="s">
        <v>2</v>
      </c>
      <c r="C3" s="14" t="s">
        <v>3</v>
      </c>
      <c r="D3" s="14" t="s">
        <v>4</v>
      </c>
      <c r="E3" s="14" t="s">
        <v>5</v>
      </c>
      <c r="F3" s="14" t="s">
        <v>6</v>
      </c>
    </row>
    <row r="4" spans="1:6" ht="49.5" customHeight="1" x14ac:dyDescent="0.25">
      <c r="A4" s="12" t="s">
        <v>110</v>
      </c>
      <c r="B4" s="15"/>
      <c r="C4" s="15"/>
      <c r="D4" s="16"/>
      <c r="E4" s="16" t="str">
        <f t="shared" ref="E4:E18" si="0">IF(OR(D4="",C4="",C4="Not Assessed"),"",D4+IF(C4="Red",RedInterval,IF(C4="Amber",AmberInterval,GreenInterval)))</f>
        <v/>
      </c>
      <c r="F4" s="12"/>
    </row>
    <row r="5" spans="1:6" ht="57.75" customHeight="1" x14ac:dyDescent="0.25">
      <c r="A5" s="12" t="s">
        <v>106</v>
      </c>
      <c r="B5" s="15"/>
      <c r="C5" s="15"/>
      <c r="D5" s="16"/>
      <c r="E5" s="16" t="str">
        <f t="shared" si="0"/>
        <v/>
      </c>
      <c r="F5" s="12"/>
    </row>
    <row r="6" spans="1:6" ht="41.25" customHeight="1" x14ac:dyDescent="0.25">
      <c r="A6" s="12" t="s">
        <v>109</v>
      </c>
      <c r="B6" s="15"/>
      <c r="C6" s="15"/>
      <c r="D6" s="16"/>
      <c r="E6" s="16" t="str">
        <f t="shared" si="0"/>
        <v/>
      </c>
      <c r="F6" s="12"/>
    </row>
    <row r="7" spans="1:6" ht="71.25" customHeight="1" x14ac:dyDescent="0.25">
      <c r="A7" s="12" t="s">
        <v>107</v>
      </c>
      <c r="B7" s="15"/>
      <c r="C7" s="15"/>
      <c r="D7" s="16"/>
      <c r="E7" s="16" t="str">
        <f t="shared" si="0"/>
        <v/>
      </c>
      <c r="F7" s="12"/>
    </row>
    <row r="8" spans="1:6" ht="66.75" customHeight="1" x14ac:dyDescent="0.25">
      <c r="A8" s="12" t="s">
        <v>108</v>
      </c>
      <c r="B8" s="15"/>
      <c r="C8" s="15"/>
      <c r="D8" s="16"/>
      <c r="E8" s="16" t="str">
        <f t="shared" si="0"/>
        <v/>
      </c>
      <c r="F8" s="12"/>
    </row>
    <row r="9" spans="1:6" ht="48.75" customHeight="1" x14ac:dyDescent="0.25">
      <c r="A9" s="12" t="s">
        <v>111</v>
      </c>
      <c r="B9" s="15"/>
      <c r="C9" s="15"/>
      <c r="D9" s="16"/>
      <c r="E9" s="16" t="str">
        <f t="shared" si="0"/>
        <v/>
      </c>
      <c r="F9" s="12"/>
    </row>
    <row r="10" spans="1:6" ht="24" customHeight="1" x14ac:dyDescent="0.25">
      <c r="A10" s="12"/>
      <c r="B10" s="15"/>
      <c r="C10" s="15"/>
      <c r="D10" s="16"/>
      <c r="E10" s="16" t="str">
        <f t="shared" si="0"/>
        <v/>
      </c>
      <c r="F10" s="12"/>
    </row>
    <row r="11" spans="1:6" ht="24" customHeight="1" x14ac:dyDescent="0.25">
      <c r="A11" s="12"/>
      <c r="B11" s="15"/>
      <c r="C11" s="15"/>
      <c r="D11" s="16"/>
      <c r="E11" s="16" t="str">
        <f t="shared" si="0"/>
        <v/>
      </c>
      <c r="F11" s="12"/>
    </row>
    <row r="12" spans="1:6" ht="24" customHeight="1" x14ac:dyDescent="0.25">
      <c r="A12" s="12"/>
      <c r="B12" s="15"/>
      <c r="C12" s="15"/>
      <c r="D12" s="16"/>
      <c r="E12" s="16" t="str">
        <f t="shared" si="0"/>
        <v/>
      </c>
      <c r="F12" s="12"/>
    </row>
    <row r="13" spans="1:6" ht="24" customHeight="1" x14ac:dyDescent="0.25">
      <c r="A13" s="12"/>
      <c r="B13" s="15"/>
      <c r="C13" s="15"/>
      <c r="D13" s="16"/>
      <c r="E13" s="16" t="str">
        <f t="shared" si="0"/>
        <v/>
      </c>
      <c r="F13" s="12"/>
    </row>
    <row r="14" spans="1:6" ht="24" customHeight="1" x14ac:dyDescent="0.25">
      <c r="A14" s="12"/>
      <c r="B14" s="15"/>
      <c r="C14" s="15"/>
      <c r="D14" s="16"/>
      <c r="E14" s="16" t="str">
        <f t="shared" si="0"/>
        <v/>
      </c>
      <c r="F14" s="12"/>
    </row>
    <row r="15" spans="1:6" ht="24" customHeight="1" x14ac:dyDescent="0.25">
      <c r="A15" s="12"/>
      <c r="B15" s="15"/>
      <c r="C15" s="15"/>
      <c r="D15" s="16"/>
      <c r="E15" s="16" t="str">
        <f t="shared" si="0"/>
        <v/>
      </c>
      <c r="F15" s="12"/>
    </row>
    <row r="16" spans="1:6" ht="24" customHeight="1" x14ac:dyDescent="0.25">
      <c r="A16" s="12"/>
      <c r="B16" s="15"/>
      <c r="C16" s="15"/>
      <c r="D16" s="16"/>
      <c r="E16" s="16" t="str">
        <f t="shared" si="0"/>
        <v/>
      </c>
      <c r="F16" s="12"/>
    </row>
    <row r="17" spans="1:6" ht="24" customHeight="1" x14ac:dyDescent="0.25">
      <c r="A17" s="12"/>
      <c r="B17" s="15"/>
      <c r="C17" s="15"/>
      <c r="D17" s="16"/>
      <c r="E17" s="16" t="str">
        <f t="shared" si="0"/>
        <v/>
      </c>
      <c r="F17" s="12"/>
    </row>
    <row r="18" spans="1:6" ht="24" customHeight="1" x14ac:dyDescent="0.25">
      <c r="A18" s="12"/>
      <c r="B18" s="15"/>
      <c r="C18" s="15"/>
      <c r="D18" s="16"/>
      <c r="E18" s="16" t="str">
        <f t="shared" si="0"/>
        <v/>
      </c>
      <c r="F18" s="12"/>
    </row>
  </sheetData>
  <mergeCells count="1">
    <mergeCell ref="A1:F1"/>
  </mergeCells>
  <conditionalFormatting sqref="B4:B18">
    <cfRule type="cellIs" dxfId="76" priority="5" operator="equal">
      <formula>"Not Started"</formula>
    </cfRule>
    <cfRule type="cellIs" dxfId="75" priority="6" operator="equal">
      <formula>"In Progress"</formula>
    </cfRule>
    <cfRule type="cellIs" dxfId="74" priority="7" operator="equal">
      <formula>"Completed"</formula>
    </cfRule>
  </conditionalFormatting>
  <conditionalFormatting sqref="C4:C18">
    <cfRule type="cellIs" dxfId="73" priority="1" operator="equal">
      <formula>"Green"</formula>
    </cfRule>
    <cfRule type="cellIs" dxfId="72" priority="2" operator="equal">
      <formula>"Amber"</formula>
    </cfRule>
    <cfRule type="cellIs" dxfId="71" priority="3" operator="equal">
      <formula>"Red"</formula>
    </cfRule>
    <cfRule type="cellIs" dxfId="70" priority="4" operator="equal">
      <formula>"Not Assessed"</formula>
    </cfRule>
  </conditionalFormatting>
  <conditionalFormatting sqref="E4:E18">
    <cfRule type="expression" dxfId="69" priority="8">
      <formula>AND(E4&lt;&gt;"",ISNUMBER(E4),E4&lt;TODAY())</formula>
    </cfRule>
    <cfRule type="expression" dxfId="68" priority="9">
      <formula>AND(E4&lt;&gt;"",ISNUMBER(E4),E4=TODAY())</formula>
    </cfRule>
  </conditionalFormatting>
  <dataValidations count="3">
    <dataValidation type="list" allowBlank="1" sqref="B4:B18" xr:uid="{00000000-0002-0000-0600-000000000000}">
      <formula1>"Not Started,In Progress,Completed"</formula1>
    </dataValidation>
    <dataValidation type="list" allowBlank="1" sqref="C4:C18" xr:uid="{00000000-0002-0000-0600-000001000000}">
      <formula1>"Green,Amber,Red,Not Assessed"</formula1>
    </dataValidation>
    <dataValidation type="list" allowBlank="1" sqref="F4:F18" xr:uid="{00000000-0002-0000-06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8"/>
  <sheetViews>
    <sheetView showGridLines="0" workbookViewId="0">
      <pane ySplit="3" topLeftCell="A4" activePane="bottomLeft" state="frozen"/>
      <selection pane="bottomLeft" activeCell="F15" sqref="F15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20" t="s">
        <v>39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24" customHeight="1" x14ac:dyDescent="0.25">
      <c r="A4" s="5" t="s">
        <v>112</v>
      </c>
      <c r="B4" s="4"/>
      <c r="C4" s="4"/>
      <c r="D4" s="6"/>
      <c r="E4" s="6" t="str">
        <f t="shared" ref="E4:E18" si="0">IF(OR(D4="",C4="",C4="Not Assessed"),"",D4+IF(C4="Red",RedInterval,IF(C4="Amber",AmberInterval,GreenInterval)))</f>
        <v/>
      </c>
      <c r="F4" s="5"/>
    </row>
    <row r="5" spans="1:6" ht="24" customHeight="1" x14ac:dyDescent="0.25">
      <c r="A5" s="5" t="s">
        <v>113</v>
      </c>
      <c r="B5" s="4"/>
      <c r="C5" s="4"/>
      <c r="D5" s="6"/>
      <c r="E5" s="6" t="str">
        <f t="shared" si="0"/>
        <v/>
      </c>
      <c r="F5" s="5"/>
    </row>
    <row r="6" spans="1:6" ht="24" customHeight="1" x14ac:dyDescent="0.25">
      <c r="A6" s="5" t="s">
        <v>114</v>
      </c>
      <c r="B6" s="4"/>
      <c r="C6" s="4"/>
      <c r="D6" s="6"/>
      <c r="E6" s="6" t="str">
        <f t="shared" si="0"/>
        <v/>
      </c>
      <c r="F6" s="5"/>
    </row>
    <row r="7" spans="1:6" ht="24" customHeight="1" x14ac:dyDescent="0.25">
      <c r="A7" s="5" t="s">
        <v>115</v>
      </c>
      <c r="B7" s="4"/>
      <c r="C7" s="4"/>
      <c r="D7" s="6"/>
      <c r="E7" s="6" t="str">
        <f t="shared" si="0"/>
        <v/>
      </c>
      <c r="F7" s="5"/>
    </row>
    <row r="8" spans="1:6" ht="24" customHeight="1" x14ac:dyDescent="0.25">
      <c r="A8" s="5" t="s">
        <v>116</v>
      </c>
      <c r="B8" s="4"/>
      <c r="C8" s="4"/>
      <c r="D8" s="6"/>
      <c r="E8" s="6" t="str">
        <f t="shared" si="0"/>
        <v/>
      </c>
      <c r="F8" s="5"/>
    </row>
    <row r="9" spans="1:6" ht="24" customHeight="1" x14ac:dyDescent="0.25">
      <c r="A9" s="5"/>
      <c r="B9" s="4"/>
      <c r="C9" s="4"/>
      <c r="D9" s="6"/>
      <c r="E9" s="6" t="str">
        <f t="shared" si="0"/>
        <v/>
      </c>
      <c r="F9" s="5"/>
    </row>
    <row r="10" spans="1:6" ht="24" customHeight="1" x14ac:dyDescent="0.25">
      <c r="A10" s="5"/>
      <c r="B10" s="4"/>
      <c r="C10" s="4"/>
      <c r="D10" s="6"/>
      <c r="E10" s="6" t="str">
        <f t="shared" si="0"/>
        <v/>
      </c>
      <c r="F10" s="5"/>
    </row>
    <row r="11" spans="1:6" ht="24" customHeight="1" x14ac:dyDescent="0.25">
      <c r="A11" s="5"/>
      <c r="B11" s="4"/>
      <c r="C11" s="4"/>
      <c r="D11" s="6"/>
      <c r="E11" s="6" t="str">
        <f t="shared" si="0"/>
        <v/>
      </c>
      <c r="F11" s="5"/>
    </row>
    <row r="12" spans="1:6" ht="24" customHeight="1" x14ac:dyDescent="0.25">
      <c r="A12" s="5"/>
      <c r="B12" s="4"/>
      <c r="C12" s="4"/>
      <c r="D12" s="6"/>
      <c r="E12" s="6" t="str">
        <f t="shared" si="0"/>
        <v/>
      </c>
      <c r="F12" s="5"/>
    </row>
    <row r="13" spans="1:6" ht="24" customHeight="1" x14ac:dyDescent="0.25">
      <c r="A13" s="5"/>
      <c r="B13" s="4"/>
      <c r="C13" s="4"/>
      <c r="D13" s="6"/>
      <c r="E13" s="6" t="str">
        <f t="shared" si="0"/>
        <v/>
      </c>
      <c r="F13" s="5"/>
    </row>
    <row r="14" spans="1:6" ht="24" customHeight="1" x14ac:dyDescent="0.25">
      <c r="A14" s="5"/>
      <c r="B14" s="4"/>
      <c r="C14" s="4"/>
      <c r="D14" s="6"/>
      <c r="E14" s="6" t="str">
        <f t="shared" si="0"/>
        <v/>
      </c>
      <c r="F14" s="5"/>
    </row>
    <row r="15" spans="1:6" ht="24" customHeight="1" x14ac:dyDescent="0.25">
      <c r="A15" s="5"/>
      <c r="B15" s="4"/>
      <c r="C15" s="4"/>
      <c r="D15" s="6"/>
      <c r="E15" s="6" t="str">
        <f t="shared" si="0"/>
        <v/>
      </c>
      <c r="F15" s="5"/>
    </row>
    <row r="16" spans="1:6" ht="24" customHeight="1" x14ac:dyDescent="0.25">
      <c r="A16" s="5"/>
      <c r="B16" s="4"/>
      <c r="C16" s="4"/>
      <c r="D16" s="6"/>
      <c r="E16" s="6" t="str">
        <f t="shared" si="0"/>
        <v/>
      </c>
      <c r="F16" s="5"/>
    </row>
    <row r="17" spans="1:6" ht="24" customHeight="1" x14ac:dyDescent="0.25">
      <c r="A17" s="5"/>
      <c r="B17" s="4"/>
      <c r="C17" s="4"/>
      <c r="D17" s="6"/>
      <c r="E17" s="6" t="str">
        <f t="shared" si="0"/>
        <v/>
      </c>
      <c r="F17" s="5"/>
    </row>
    <row r="18" spans="1:6" ht="24" customHeight="1" x14ac:dyDescent="0.25">
      <c r="A18" s="5"/>
      <c r="B18" s="4"/>
      <c r="C18" s="4"/>
      <c r="D18" s="6"/>
      <c r="E18" s="6" t="str">
        <f t="shared" si="0"/>
        <v/>
      </c>
      <c r="F18" s="5"/>
    </row>
  </sheetData>
  <mergeCells count="1">
    <mergeCell ref="A1:F1"/>
  </mergeCells>
  <conditionalFormatting sqref="B4:B18">
    <cfRule type="cellIs" dxfId="67" priority="5" operator="equal">
      <formula>"Not Started"</formula>
    </cfRule>
    <cfRule type="cellIs" dxfId="66" priority="6" operator="equal">
      <formula>"In Progress"</formula>
    </cfRule>
    <cfRule type="cellIs" dxfId="65" priority="7" operator="equal">
      <formula>"Completed"</formula>
    </cfRule>
  </conditionalFormatting>
  <conditionalFormatting sqref="C4:C18">
    <cfRule type="cellIs" dxfId="64" priority="1" operator="equal">
      <formula>"Green"</formula>
    </cfRule>
    <cfRule type="cellIs" dxfId="63" priority="2" operator="equal">
      <formula>"Amber"</formula>
    </cfRule>
    <cfRule type="cellIs" dxfId="62" priority="3" operator="equal">
      <formula>"Red"</formula>
    </cfRule>
    <cfRule type="cellIs" dxfId="61" priority="4" operator="equal">
      <formula>"Not Assessed"</formula>
    </cfRule>
  </conditionalFormatting>
  <conditionalFormatting sqref="E4:E18">
    <cfRule type="expression" dxfId="60" priority="8">
      <formula>AND(E4&lt;&gt;"",ISNUMBER(E4),E4&lt;TODAY())</formula>
    </cfRule>
    <cfRule type="expression" dxfId="59" priority="9">
      <formula>AND(E4&lt;&gt;"",ISNUMBER(E4),E4=TODAY())</formula>
    </cfRule>
  </conditionalFormatting>
  <dataValidations count="3">
    <dataValidation type="list" allowBlank="1" sqref="B4:B18" xr:uid="{00000000-0002-0000-0700-000000000000}">
      <formula1>"Not Started,In Progress,Completed"</formula1>
    </dataValidation>
    <dataValidation type="list" allowBlank="1" sqref="C4:C18" xr:uid="{00000000-0002-0000-0700-000001000000}">
      <formula1>"Green,Amber,Red,Not Assessed"</formula1>
    </dataValidation>
    <dataValidation type="list" allowBlank="1" sqref="F4:F18" xr:uid="{00000000-0002-0000-07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8"/>
  <sheetViews>
    <sheetView showGridLines="0" workbookViewId="0">
      <pane ySplit="3" topLeftCell="A4" activePane="bottomLeft" state="frozen"/>
      <selection pane="bottomLeft" activeCell="A6" sqref="A6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38" t="s">
        <v>40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24" customHeight="1" x14ac:dyDescent="0.25">
      <c r="A4" s="5" t="s">
        <v>117</v>
      </c>
      <c r="B4" s="4"/>
      <c r="C4" s="4"/>
      <c r="D4" s="6"/>
      <c r="E4" s="6" t="str">
        <f t="shared" ref="E4:E18" si="0">IF(OR(D4="",C4="",C4="Not Assessed"),"",D4+IF(C4="Red",RedInterval,IF(C4="Amber",AmberInterval,GreenInterval)))</f>
        <v/>
      </c>
      <c r="F4" s="5"/>
    </row>
    <row r="5" spans="1:6" ht="24" customHeight="1" x14ac:dyDescent="0.25">
      <c r="A5" s="5" t="s">
        <v>118</v>
      </c>
      <c r="B5" s="4"/>
      <c r="C5" s="4"/>
      <c r="D5" s="6"/>
      <c r="E5" s="6" t="str">
        <f t="shared" si="0"/>
        <v/>
      </c>
      <c r="F5" s="5"/>
    </row>
    <row r="6" spans="1:6" ht="24" customHeight="1" x14ac:dyDescent="0.25">
      <c r="A6" s="5" t="s">
        <v>119</v>
      </c>
      <c r="B6" s="4"/>
      <c r="C6" s="4"/>
      <c r="D6" s="6"/>
      <c r="E6" s="6" t="str">
        <f t="shared" si="0"/>
        <v/>
      </c>
      <c r="F6" s="5"/>
    </row>
    <row r="7" spans="1:6" ht="24" customHeight="1" x14ac:dyDescent="0.25">
      <c r="A7" s="5"/>
      <c r="B7" s="4"/>
      <c r="C7" s="4"/>
      <c r="D7" s="6"/>
      <c r="E7" s="6" t="str">
        <f t="shared" si="0"/>
        <v/>
      </c>
      <c r="F7" s="5"/>
    </row>
    <row r="8" spans="1:6" ht="24" customHeight="1" x14ac:dyDescent="0.25">
      <c r="A8" s="5"/>
      <c r="B8" s="4"/>
      <c r="C8" s="4"/>
      <c r="D8" s="6"/>
      <c r="E8" s="6" t="str">
        <f t="shared" si="0"/>
        <v/>
      </c>
      <c r="F8" s="5"/>
    </row>
    <row r="9" spans="1:6" ht="24" customHeight="1" x14ac:dyDescent="0.25">
      <c r="A9" s="5"/>
      <c r="B9" s="4"/>
      <c r="C9" s="4"/>
      <c r="D9" s="6"/>
      <c r="E9" s="6" t="str">
        <f t="shared" si="0"/>
        <v/>
      </c>
      <c r="F9" s="5"/>
    </row>
    <row r="10" spans="1:6" ht="24" customHeight="1" x14ac:dyDescent="0.25">
      <c r="A10" s="5"/>
      <c r="B10" s="4"/>
      <c r="C10" s="4"/>
      <c r="D10" s="6"/>
      <c r="E10" s="6" t="str">
        <f t="shared" si="0"/>
        <v/>
      </c>
      <c r="F10" s="5"/>
    </row>
    <row r="11" spans="1:6" ht="24" customHeight="1" x14ac:dyDescent="0.25">
      <c r="A11" s="5"/>
      <c r="B11" s="4"/>
      <c r="C11" s="4"/>
      <c r="D11" s="6"/>
      <c r="E11" s="6" t="str">
        <f t="shared" si="0"/>
        <v/>
      </c>
      <c r="F11" s="5"/>
    </row>
    <row r="12" spans="1:6" ht="24" customHeight="1" x14ac:dyDescent="0.25">
      <c r="A12" s="5"/>
      <c r="B12" s="4"/>
      <c r="C12" s="4"/>
      <c r="D12" s="6"/>
      <c r="E12" s="6" t="str">
        <f t="shared" si="0"/>
        <v/>
      </c>
      <c r="F12" s="5"/>
    </row>
    <row r="13" spans="1:6" ht="24" customHeight="1" x14ac:dyDescent="0.25">
      <c r="A13" s="5"/>
      <c r="B13" s="4"/>
      <c r="C13" s="4"/>
      <c r="D13" s="6"/>
      <c r="E13" s="6" t="str">
        <f t="shared" si="0"/>
        <v/>
      </c>
      <c r="F13" s="5"/>
    </row>
    <row r="14" spans="1:6" ht="24" customHeight="1" x14ac:dyDescent="0.25">
      <c r="A14" s="5"/>
      <c r="B14" s="4"/>
      <c r="C14" s="4"/>
      <c r="D14" s="6"/>
      <c r="E14" s="6" t="str">
        <f t="shared" si="0"/>
        <v/>
      </c>
      <c r="F14" s="5"/>
    </row>
    <row r="15" spans="1:6" ht="24" customHeight="1" x14ac:dyDescent="0.25">
      <c r="A15" s="5"/>
      <c r="B15" s="4"/>
      <c r="C15" s="4"/>
      <c r="D15" s="6"/>
      <c r="E15" s="6" t="str">
        <f t="shared" si="0"/>
        <v/>
      </c>
      <c r="F15" s="5"/>
    </row>
    <row r="16" spans="1:6" ht="24" customHeight="1" x14ac:dyDescent="0.25">
      <c r="A16" s="5"/>
      <c r="B16" s="4"/>
      <c r="C16" s="4"/>
      <c r="D16" s="6"/>
      <c r="E16" s="6" t="str">
        <f t="shared" si="0"/>
        <v/>
      </c>
      <c r="F16" s="5"/>
    </row>
    <row r="17" spans="1:6" ht="24" customHeight="1" x14ac:dyDescent="0.25">
      <c r="A17" s="5"/>
      <c r="B17" s="4"/>
      <c r="C17" s="4"/>
      <c r="D17" s="6"/>
      <c r="E17" s="6" t="str">
        <f t="shared" si="0"/>
        <v/>
      </c>
      <c r="F17" s="5"/>
    </row>
    <row r="18" spans="1:6" ht="24" customHeight="1" x14ac:dyDescent="0.25">
      <c r="A18" s="5"/>
      <c r="B18" s="4"/>
      <c r="C18" s="4"/>
      <c r="D18" s="6"/>
      <c r="E18" s="6" t="str">
        <f t="shared" si="0"/>
        <v/>
      </c>
      <c r="F18" s="5"/>
    </row>
  </sheetData>
  <mergeCells count="1">
    <mergeCell ref="A1:F1"/>
  </mergeCells>
  <conditionalFormatting sqref="B4:B18">
    <cfRule type="cellIs" dxfId="58" priority="5" operator="equal">
      <formula>"Not Started"</formula>
    </cfRule>
    <cfRule type="cellIs" dxfId="57" priority="6" operator="equal">
      <formula>"In Progress"</formula>
    </cfRule>
    <cfRule type="cellIs" dxfId="56" priority="7" operator="equal">
      <formula>"Completed"</formula>
    </cfRule>
  </conditionalFormatting>
  <conditionalFormatting sqref="C4:C18">
    <cfRule type="cellIs" dxfId="55" priority="1" operator="equal">
      <formula>"Green"</formula>
    </cfRule>
    <cfRule type="cellIs" dxfId="54" priority="2" operator="equal">
      <formula>"Amber"</formula>
    </cfRule>
    <cfRule type="cellIs" dxfId="53" priority="3" operator="equal">
      <formula>"Red"</formula>
    </cfRule>
    <cfRule type="cellIs" dxfId="52" priority="4" operator="equal">
      <formula>"Not Assessed"</formula>
    </cfRule>
  </conditionalFormatting>
  <conditionalFormatting sqref="E4:E18">
    <cfRule type="expression" dxfId="51" priority="8">
      <formula>AND(E4&lt;&gt;"",ISNUMBER(E4),E4&lt;TODAY())</formula>
    </cfRule>
    <cfRule type="expression" dxfId="50" priority="9">
      <formula>AND(E4&lt;&gt;"",ISNUMBER(E4),E4=TODAY())</formula>
    </cfRule>
  </conditionalFormatting>
  <dataValidations count="3">
    <dataValidation type="list" allowBlank="1" sqref="B4:B18" xr:uid="{00000000-0002-0000-0800-000000000000}">
      <formula1>"Not Started,In Progress,Completed"</formula1>
    </dataValidation>
    <dataValidation type="list" allowBlank="1" sqref="C4:C18" xr:uid="{00000000-0002-0000-0800-000001000000}">
      <formula1>"Green,Amber,Red,Not Assessed"</formula1>
    </dataValidation>
    <dataValidation type="list" allowBlank="1" sqref="F4:F18" xr:uid="{00000000-0002-0000-08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8"/>
  <sheetViews>
    <sheetView showGridLines="0" workbookViewId="0">
      <pane ySplit="3" topLeftCell="A4" activePane="bottomLeft" state="frozen"/>
      <selection pane="bottomLeft" activeCell="B10" sqref="B10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38" t="s">
        <v>41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24" customHeight="1" x14ac:dyDescent="0.25">
      <c r="A4" s="5" t="s">
        <v>131</v>
      </c>
      <c r="B4" s="4"/>
      <c r="C4" s="4"/>
      <c r="D4" s="6"/>
      <c r="E4" s="6" t="str">
        <f t="shared" ref="E4:E18" si="0">IF(OR(D4="",C4="",C4="Not Assessed"),"",D4+IF(C4="Red",RedInterval,IF(C4="Amber",AmberInterval,GreenInterval)))</f>
        <v/>
      </c>
      <c r="F4" s="5"/>
    </row>
    <row r="5" spans="1:6" ht="24" customHeight="1" x14ac:dyDescent="0.25">
      <c r="A5" s="5" t="s">
        <v>128</v>
      </c>
      <c r="B5" s="4"/>
      <c r="C5" s="4"/>
      <c r="D5" s="6"/>
      <c r="E5" s="6" t="str">
        <f t="shared" si="0"/>
        <v/>
      </c>
      <c r="F5" s="5"/>
    </row>
    <row r="6" spans="1:6" ht="24" customHeight="1" x14ac:dyDescent="0.25">
      <c r="A6" s="5" t="s">
        <v>129</v>
      </c>
      <c r="B6" s="4"/>
      <c r="C6" s="4"/>
      <c r="D6" s="6"/>
      <c r="E6" s="6" t="str">
        <f t="shared" si="0"/>
        <v/>
      </c>
      <c r="F6" s="5"/>
    </row>
    <row r="7" spans="1:6" ht="24" customHeight="1" x14ac:dyDescent="0.25">
      <c r="A7" s="5" t="s">
        <v>130</v>
      </c>
      <c r="B7" s="4"/>
      <c r="C7" s="4"/>
      <c r="D7" s="6"/>
      <c r="E7" s="6" t="str">
        <f t="shared" si="0"/>
        <v/>
      </c>
      <c r="F7" s="5"/>
    </row>
    <row r="8" spans="1:6" ht="24" customHeight="1" x14ac:dyDescent="0.25">
      <c r="A8" s="5"/>
      <c r="B8" s="4"/>
      <c r="C8" s="4"/>
      <c r="D8" s="6"/>
      <c r="E8" s="6" t="str">
        <f t="shared" si="0"/>
        <v/>
      </c>
      <c r="F8" s="5"/>
    </row>
    <row r="9" spans="1:6" ht="24" customHeight="1" x14ac:dyDescent="0.25">
      <c r="A9" s="5"/>
      <c r="B9" s="4"/>
      <c r="C9" s="4"/>
      <c r="D9" s="6"/>
      <c r="E9" s="6" t="str">
        <f t="shared" si="0"/>
        <v/>
      </c>
      <c r="F9" s="5"/>
    </row>
    <row r="10" spans="1:6" ht="24" customHeight="1" x14ac:dyDescent="0.25">
      <c r="A10" s="5"/>
      <c r="B10" s="4"/>
      <c r="C10" s="4"/>
      <c r="D10" s="6"/>
      <c r="E10" s="6" t="str">
        <f t="shared" si="0"/>
        <v/>
      </c>
      <c r="F10" s="5"/>
    </row>
    <row r="11" spans="1:6" ht="24" customHeight="1" x14ac:dyDescent="0.25">
      <c r="A11" s="5"/>
      <c r="B11" s="4"/>
      <c r="C11" s="4"/>
      <c r="D11" s="6"/>
      <c r="E11" s="6" t="str">
        <f t="shared" si="0"/>
        <v/>
      </c>
      <c r="F11" s="5"/>
    </row>
    <row r="12" spans="1:6" ht="24" customHeight="1" x14ac:dyDescent="0.25">
      <c r="A12" s="5"/>
      <c r="B12" s="4"/>
      <c r="C12" s="4"/>
      <c r="D12" s="6"/>
      <c r="E12" s="6" t="str">
        <f t="shared" si="0"/>
        <v/>
      </c>
      <c r="F12" s="5"/>
    </row>
    <row r="13" spans="1:6" ht="24" customHeight="1" x14ac:dyDescent="0.25">
      <c r="A13" s="5"/>
      <c r="B13" s="4"/>
      <c r="C13" s="4"/>
      <c r="D13" s="6"/>
      <c r="E13" s="6" t="str">
        <f t="shared" si="0"/>
        <v/>
      </c>
      <c r="F13" s="5"/>
    </row>
    <row r="14" spans="1:6" ht="24" customHeight="1" x14ac:dyDescent="0.25">
      <c r="A14" s="5"/>
      <c r="B14" s="4"/>
      <c r="C14" s="4"/>
      <c r="D14" s="6"/>
      <c r="E14" s="6" t="str">
        <f t="shared" si="0"/>
        <v/>
      </c>
      <c r="F14" s="5"/>
    </row>
    <row r="15" spans="1:6" ht="24" customHeight="1" x14ac:dyDescent="0.25">
      <c r="A15" s="5"/>
      <c r="B15" s="4"/>
      <c r="C15" s="4"/>
      <c r="D15" s="6"/>
      <c r="E15" s="6" t="str">
        <f t="shared" si="0"/>
        <v/>
      </c>
      <c r="F15" s="5"/>
    </row>
    <row r="16" spans="1:6" ht="24" customHeight="1" x14ac:dyDescent="0.25">
      <c r="A16" s="5"/>
      <c r="B16" s="4"/>
      <c r="C16" s="4"/>
      <c r="D16" s="6"/>
      <c r="E16" s="6" t="str">
        <f t="shared" si="0"/>
        <v/>
      </c>
      <c r="F16" s="5"/>
    </row>
    <row r="17" spans="1:6" ht="24" customHeight="1" x14ac:dyDescent="0.25">
      <c r="A17" s="5"/>
      <c r="B17" s="4"/>
      <c r="C17" s="4"/>
      <c r="D17" s="6"/>
      <c r="E17" s="6" t="str">
        <f t="shared" si="0"/>
        <v/>
      </c>
      <c r="F17" s="5"/>
    </row>
    <row r="18" spans="1:6" ht="24" customHeight="1" x14ac:dyDescent="0.25">
      <c r="A18" s="5"/>
      <c r="B18" s="4"/>
      <c r="C18" s="4"/>
      <c r="D18" s="6"/>
      <c r="E18" s="6" t="str">
        <f t="shared" si="0"/>
        <v/>
      </c>
      <c r="F18" s="5"/>
    </row>
  </sheetData>
  <mergeCells count="1">
    <mergeCell ref="A1:F1"/>
  </mergeCells>
  <conditionalFormatting sqref="B4:B18">
    <cfRule type="cellIs" dxfId="49" priority="5" operator="equal">
      <formula>"Not Started"</formula>
    </cfRule>
    <cfRule type="cellIs" dxfId="48" priority="6" operator="equal">
      <formula>"In Progress"</formula>
    </cfRule>
    <cfRule type="cellIs" dxfId="47" priority="7" operator="equal">
      <formula>"Completed"</formula>
    </cfRule>
  </conditionalFormatting>
  <conditionalFormatting sqref="C4:C18">
    <cfRule type="cellIs" dxfId="46" priority="1" operator="equal">
      <formula>"Green"</formula>
    </cfRule>
    <cfRule type="cellIs" dxfId="45" priority="2" operator="equal">
      <formula>"Amber"</formula>
    </cfRule>
    <cfRule type="cellIs" dxfId="44" priority="3" operator="equal">
      <formula>"Red"</formula>
    </cfRule>
    <cfRule type="cellIs" dxfId="43" priority="4" operator="equal">
      <formula>"Not Assessed"</formula>
    </cfRule>
  </conditionalFormatting>
  <conditionalFormatting sqref="E4:E18">
    <cfRule type="expression" dxfId="42" priority="8">
      <formula>AND(E4&lt;&gt;"",ISNUMBER(E4),E4&lt;TODAY())</formula>
    </cfRule>
    <cfRule type="expression" dxfId="41" priority="9">
      <formula>AND(E4&lt;&gt;"",ISNUMBER(E4),E4=TODAY())</formula>
    </cfRule>
  </conditionalFormatting>
  <dataValidations count="3">
    <dataValidation type="list" allowBlank="1" sqref="B4:B18" xr:uid="{00000000-0002-0000-0900-000000000000}">
      <formula1>"Not Started,In Progress,Completed"</formula1>
    </dataValidation>
    <dataValidation type="list" allowBlank="1" sqref="C4:C18" xr:uid="{00000000-0002-0000-0900-000001000000}">
      <formula1>"Green,Amber,Red,Not Assessed"</formula1>
    </dataValidation>
    <dataValidation type="list" allowBlank="1" sqref="F4:F18" xr:uid="{00000000-0002-0000-09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8"/>
  <sheetViews>
    <sheetView showGridLines="0" zoomScale="145" zoomScaleNormal="145" workbookViewId="0">
      <pane ySplit="3" topLeftCell="A4" activePane="bottomLeft" state="frozen"/>
      <selection pane="bottomLeft" activeCell="A11" sqref="A11"/>
    </sheetView>
  </sheetViews>
  <sheetFormatPr defaultRowHeight="15" x14ac:dyDescent="0.25"/>
  <cols>
    <col min="1" max="1" width="36" customWidth="1"/>
    <col min="2" max="3" width="14" customWidth="1"/>
    <col min="4" max="4" width="15" customWidth="1"/>
    <col min="5" max="5" width="18" customWidth="1"/>
    <col min="6" max="6" width="38" customWidth="1"/>
  </cols>
  <sheetData>
    <row r="1" spans="1:6" ht="32.1" customHeight="1" x14ac:dyDescent="0.25">
      <c r="A1" s="20" t="s">
        <v>42</v>
      </c>
      <c r="B1" s="21"/>
      <c r="C1" s="21"/>
      <c r="D1" s="21"/>
      <c r="E1" s="21"/>
      <c r="F1" s="21"/>
    </row>
    <row r="2" spans="1:6" ht="6" customHeight="1" x14ac:dyDescent="0.25"/>
    <row r="3" spans="1:6" ht="26.1" customHeight="1" x14ac:dyDescent="0.25">
      <c r="A3" s="14" t="s">
        <v>1</v>
      </c>
      <c r="B3" s="14" t="s">
        <v>2</v>
      </c>
      <c r="C3" s="14" t="s">
        <v>3</v>
      </c>
      <c r="D3" s="14" t="s">
        <v>4</v>
      </c>
      <c r="E3" s="14" t="s">
        <v>5</v>
      </c>
      <c r="F3" s="14" t="s">
        <v>6</v>
      </c>
    </row>
    <row r="4" spans="1:6" ht="24" customHeight="1" x14ac:dyDescent="0.25">
      <c r="A4" s="12" t="s">
        <v>120</v>
      </c>
      <c r="B4" s="15"/>
      <c r="C4" s="15"/>
      <c r="D4" s="16"/>
      <c r="E4" s="16" t="str">
        <f t="shared" ref="E4:E18" si="0">IF(OR(D4="",C4="",C4="Not Assessed"),"",D4+IF(C4="Red",RedInterval,IF(C4="Amber",AmberInterval,GreenInterval)))</f>
        <v/>
      </c>
      <c r="F4" s="12"/>
    </row>
    <row r="5" spans="1:6" ht="43.5" customHeight="1" x14ac:dyDescent="0.25">
      <c r="A5" s="12" t="s">
        <v>121</v>
      </c>
      <c r="B5" s="15"/>
      <c r="C5" s="15"/>
      <c r="D5" s="16"/>
      <c r="E5" s="16" t="str">
        <f t="shared" si="0"/>
        <v/>
      </c>
      <c r="F5" s="12"/>
    </row>
    <row r="6" spans="1:6" ht="47.25" customHeight="1" x14ac:dyDescent="0.25">
      <c r="A6" s="12" t="s">
        <v>122</v>
      </c>
      <c r="B6" s="15"/>
      <c r="C6" s="15"/>
      <c r="D6" s="16"/>
      <c r="E6" s="16" t="str">
        <f t="shared" si="0"/>
        <v/>
      </c>
      <c r="F6" s="12"/>
    </row>
    <row r="7" spans="1:6" ht="24" customHeight="1" x14ac:dyDescent="0.25">
      <c r="A7" s="12" t="s">
        <v>123</v>
      </c>
      <c r="B7" s="15"/>
      <c r="C7" s="15"/>
      <c r="D7" s="16"/>
      <c r="E7" s="16" t="str">
        <f t="shared" si="0"/>
        <v/>
      </c>
      <c r="F7" s="12"/>
    </row>
    <row r="8" spans="1:6" ht="24" customHeight="1" x14ac:dyDescent="0.25">
      <c r="A8" s="12" t="s">
        <v>124</v>
      </c>
      <c r="B8" s="15"/>
      <c r="C8" s="15"/>
      <c r="D8" s="16"/>
      <c r="E8" s="16" t="str">
        <f t="shared" si="0"/>
        <v/>
      </c>
      <c r="F8" s="12"/>
    </row>
    <row r="9" spans="1:6" ht="46.5" customHeight="1" x14ac:dyDescent="0.25">
      <c r="A9" s="12" t="s">
        <v>125</v>
      </c>
      <c r="B9" s="15"/>
      <c r="C9" s="15"/>
      <c r="D9" s="16"/>
      <c r="E9" s="16" t="str">
        <f t="shared" si="0"/>
        <v/>
      </c>
      <c r="F9" s="12"/>
    </row>
    <row r="10" spans="1:6" ht="24" customHeight="1" x14ac:dyDescent="0.25">
      <c r="A10" s="12" t="s">
        <v>126</v>
      </c>
      <c r="B10" s="15"/>
      <c r="C10" s="15"/>
      <c r="D10" s="16"/>
      <c r="E10" s="16" t="str">
        <f t="shared" si="0"/>
        <v/>
      </c>
      <c r="F10" s="12"/>
    </row>
    <row r="11" spans="1:6" ht="24" customHeight="1" x14ac:dyDescent="0.25">
      <c r="A11" s="12" t="s">
        <v>127</v>
      </c>
      <c r="B11" s="15"/>
      <c r="C11" s="15"/>
      <c r="D11" s="16"/>
      <c r="E11" s="16" t="str">
        <f t="shared" si="0"/>
        <v/>
      </c>
      <c r="F11" s="12"/>
    </row>
    <row r="12" spans="1:6" ht="24" customHeight="1" x14ac:dyDescent="0.25">
      <c r="A12" s="12"/>
      <c r="B12" s="15"/>
      <c r="C12" s="15"/>
      <c r="D12" s="16"/>
      <c r="E12" s="16" t="str">
        <f t="shared" si="0"/>
        <v/>
      </c>
      <c r="F12" s="12"/>
    </row>
    <row r="13" spans="1:6" ht="24" customHeight="1" x14ac:dyDescent="0.25">
      <c r="A13" s="12"/>
      <c r="B13" s="15"/>
      <c r="C13" s="15"/>
      <c r="D13" s="16"/>
      <c r="E13" s="16" t="str">
        <f t="shared" si="0"/>
        <v/>
      </c>
      <c r="F13" s="12"/>
    </row>
    <row r="14" spans="1:6" ht="24" customHeight="1" x14ac:dyDescent="0.25">
      <c r="A14" s="12"/>
      <c r="B14" s="15"/>
      <c r="C14" s="15"/>
      <c r="D14" s="16"/>
      <c r="E14" s="16" t="str">
        <f t="shared" si="0"/>
        <v/>
      </c>
      <c r="F14" s="12"/>
    </row>
    <row r="15" spans="1:6" ht="24" customHeight="1" x14ac:dyDescent="0.25">
      <c r="A15" s="12"/>
      <c r="B15" s="15"/>
      <c r="C15" s="15"/>
      <c r="D15" s="16"/>
      <c r="E15" s="16" t="str">
        <f t="shared" si="0"/>
        <v/>
      </c>
      <c r="F15" s="12"/>
    </row>
    <row r="16" spans="1:6" ht="24" customHeight="1" x14ac:dyDescent="0.25">
      <c r="A16" s="12"/>
      <c r="B16" s="15"/>
      <c r="C16" s="15"/>
      <c r="D16" s="16"/>
      <c r="E16" s="16" t="str">
        <f t="shared" si="0"/>
        <v/>
      </c>
      <c r="F16" s="12"/>
    </row>
    <row r="17" spans="1:6" ht="24" customHeight="1" x14ac:dyDescent="0.25">
      <c r="A17" s="12"/>
      <c r="B17" s="15"/>
      <c r="C17" s="15"/>
      <c r="D17" s="16"/>
      <c r="E17" s="16" t="str">
        <f t="shared" si="0"/>
        <v/>
      </c>
      <c r="F17" s="12"/>
    </row>
    <row r="18" spans="1:6" ht="24" customHeight="1" x14ac:dyDescent="0.25">
      <c r="A18" s="12"/>
      <c r="B18" s="15"/>
      <c r="C18" s="15"/>
      <c r="D18" s="16"/>
      <c r="E18" s="16" t="str">
        <f t="shared" si="0"/>
        <v/>
      </c>
      <c r="F18" s="12"/>
    </row>
  </sheetData>
  <mergeCells count="1">
    <mergeCell ref="A1:F1"/>
  </mergeCells>
  <conditionalFormatting sqref="B4:B18">
    <cfRule type="cellIs" dxfId="40" priority="5" operator="equal">
      <formula>"Not Started"</formula>
    </cfRule>
    <cfRule type="cellIs" dxfId="39" priority="6" operator="equal">
      <formula>"In Progress"</formula>
    </cfRule>
    <cfRule type="cellIs" dxfId="38" priority="7" operator="equal">
      <formula>"Completed"</formula>
    </cfRule>
  </conditionalFormatting>
  <conditionalFormatting sqref="C4:C18">
    <cfRule type="cellIs" dxfId="37" priority="1" operator="equal">
      <formula>"Green"</formula>
    </cfRule>
    <cfRule type="cellIs" dxfId="36" priority="2" operator="equal">
      <formula>"Amber"</formula>
    </cfRule>
    <cfRule type="cellIs" dxfId="35" priority="3" operator="equal">
      <formula>"Red"</formula>
    </cfRule>
    <cfRule type="cellIs" dxfId="34" priority="4" operator="equal">
      <formula>"Not Assessed"</formula>
    </cfRule>
  </conditionalFormatting>
  <conditionalFormatting sqref="E4:E18">
    <cfRule type="expression" dxfId="33" priority="8">
      <formula>AND(E4&lt;&gt;"",ISNUMBER(E4),E4&lt;TODAY())</formula>
    </cfRule>
    <cfRule type="expression" dxfId="32" priority="9">
      <formula>AND(E4&lt;&gt;"",ISNUMBER(E4),E4=TODAY())</formula>
    </cfRule>
  </conditionalFormatting>
  <dataValidations count="3">
    <dataValidation type="list" allowBlank="1" sqref="B4:B18" xr:uid="{00000000-0002-0000-0A00-000000000000}">
      <formula1>"Not Started,In Progress,Completed"</formula1>
    </dataValidation>
    <dataValidation type="list" allowBlank="1" sqref="C4:C18" xr:uid="{00000000-0002-0000-0A00-000001000000}">
      <formula1>"Green,Amber,Red,Not Assessed"</formula1>
    </dataValidation>
    <dataValidation type="list" allowBlank="1" sqref="F4:F18" xr:uid="{00000000-0002-0000-0A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</dataValidation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D12"/>
  <sheetViews>
    <sheetView showGridLines="0" workbookViewId="0">
      <selection activeCell="C10" sqref="C10"/>
    </sheetView>
  </sheetViews>
  <sheetFormatPr defaultRowHeight="15" x14ac:dyDescent="0.25"/>
  <cols>
    <col min="1" max="1" width="3" customWidth="1"/>
    <col min="2" max="2" width="22" customWidth="1"/>
    <col min="3" max="3" width="16" customWidth="1"/>
    <col min="4" max="4" width="3" customWidth="1"/>
  </cols>
  <sheetData>
    <row r="2" spans="2:4" ht="28.5" customHeight="1" x14ac:dyDescent="0.45">
      <c r="B2" s="36" t="s">
        <v>72</v>
      </c>
      <c r="C2" s="21"/>
      <c r="D2" s="21"/>
    </row>
    <row r="4" spans="2:4" ht="18.75" customHeight="1" x14ac:dyDescent="0.3">
      <c r="B4" s="27" t="s">
        <v>73</v>
      </c>
      <c r="C4" s="21"/>
      <c r="D4" s="21"/>
    </row>
    <row r="6" spans="2:4" ht="15.75" customHeight="1" x14ac:dyDescent="0.25">
      <c r="B6" s="7" t="s">
        <v>3</v>
      </c>
      <c r="C6" s="7" t="s">
        <v>74</v>
      </c>
    </row>
    <row r="7" spans="2:4" x14ac:dyDescent="0.25">
      <c r="B7" s="8" t="s">
        <v>22</v>
      </c>
      <c r="C7" s="4">
        <v>1</v>
      </c>
    </row>
    <row r="8" spans="2:4" x14ac:dyDescent="0.25">
      <c r="B8" s="9" t="s">
        <v>21</v>
      </c>
      <c r="C8" s="4">
        <v>3</v>
      </c>
    </row>
    <row r="9" spans="2:4" x14ac:dyDescent="0.25">
      <c r="B9" s="10" t="s">
        <v>17</v>
      </c>
      <c r="C9" s="4">
        <v>6</v>
      </c>
    </row>
    <row r="10" spans="2:4" x14ac:dyDescent="0.25">
      <c r="B10" s="11" t="s">
        <v>23</v>
      </c>
      <c r="C10" s="4" t="s">
        <v>75</v>
      </c>
    </row>
    <row r="12" spans="2:4" x14ac:dyDescent="0.25">
      <c r="B12" s="35" t="s">
        <v>76</v>
      </c>
      <c r="C12" s="21"/>
      <c r="D12" s="21"/>
    </row>
  </sheetData>
  <mergeCells count="3">
    <mergeCell ref="B12:D12"/>
    <mergeCell ref="B2:D2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Dashboard</vt:lpstr>
      <vt:lpstr>Biology</vt:lpstr>
      <vt:lpstr>Chemistry</vt:lpstr>
      <vt:lpstr>Physics</vt:lpstr>
      <vt:lpstr>Mathematics</vt:lpstr>
      <vt:lpstr>English Language</vt:lpstr>
      <vt:lpstr>English Literature</vt:lpstr>
      <vt:lpstr>Geography</vt:lpstr>
      <vt:lpstr>History</vt:lpstr>
      <vt:lpstr>Spanish</vt:lpstr>
      <vt:lpstr>Computer Science</vt:lpstr>
      <vt:lpstr>Settings</vt:lpstr>
      <vt:lpstr>AmberInterval</vt:lpstr>
      <vt:lpstr>GreenInterval</vt:lpstr>
      <vt:lpstr>RedInterval</vt:lpstr>
      <vt:lpstr>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Chinedu Chile</cp:lastModifiedBy>
  <dcterms:created xsi:type="dcterms:W3CDTF">2026-10-11T11:12:22Z</dcterms:created>
  <dcterms:modified xsi:type="dcterms:W3CDTF">2026-10-11T16:04:22Z</dcterms:modified>
</cp:coreProperties>
</file>